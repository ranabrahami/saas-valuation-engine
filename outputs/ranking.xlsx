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omps Regression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&quot;x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" fontId="0" fillId="0" borderId="0" pivotButton="0" quotePrefix="0" xfId="0"/>
    <xf numFmtId="0" fontId="4" fillId="3" borderId="0" pivotButton="0" quotePrefix="0" xfId="0"/>
    <xf numFmtId="1" fontId="4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5" fontId="0" fillId="4" borderId="0" pivotButton="0" quotePrefix="0" xfId="0"/>
    <xf numFmtId="0" fontId="4" fillId="5" borderId="0" pivotButton="0" quotePrefix="0" xfId="0"/>
    <xf numFmtId="0" fontId="4" fillId="4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Revenue vs Revenue Growth</a:t>
            </a:r>
          </a:p>
        </rich>
      </tx>
    </title>
    <plotArea>
      <scatterChart>
        <ser>
          <idx val="0"/>
          <order val="0"/>
          <tx>
            <strRef>
              <f>'Comps Regression'!C4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'Comps Regression'!$B$5:$B$22</f>
            </numRef>
          </xVal>
          <yVal>
            <numRef>
              <f>'Comps Regression'!$C$5:$C$22</f>
            </numRef>
          </yVal>
        </ser>
        <ser>
          <idx val="1"/>
          <order val="1"/>
          <tx>
            <strRef>
              <f>'Comps Regression'!E4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'Comps Regression'!$B$5:$B$22</f>
            </numRef>
          </xVal>
          <yVal>
            <numRef>
              <f>'Comps Regression'!$E$5:$E$22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Growth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 / Revenue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28" customWidth="1" min="3" max="3"/>
    <col width="22" customWidth="1" min="4" max="4"/>
    <col width="13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SaaS Valuation Ranking</t>
        </is>
      </c>
    </row>
    <row r="2">
      <c r="A2" s="2" t="inlineStr">
        <is>
          <t>Score = 50% DCF percentile + 50% comps percentile · Undervalued ≥ 67, Overvalued ≤ 33 · relative to this 18-company universe</t>
        </is>
      </c>
    </row>
    <row r="4" ht="32" customHeight="1">
      <c r="A4" s="3" t="inlineStr">
        <is>
          <t>Ticker</t>
        </is>
      </c>
      <c r="B4" s="3" t="inlineStr">
        <is>
          <t>Rank</t>
        </is>
      </c>
      <c r="C4" s="3" t="inlineStr">
        <is>
          <t>Company</t>
        </is>
      </c>
      <c r="D4" s="3" t="inlineStr">
        <is>
          <t>Profile</t>
        </is>
      </c>
      <c r="E4" s="3" t="inlineStr">
        <is>
          <t>Verdict</t>
        </is>
      </c>
      <c r="F4" s="3" t="inlineStr">
        <is>
          <t>Score (0-100)</t>
        </is>
      </c>
      <c r="G4" s="3" t="inlineStr">
        <is>
          <t>Share Price</t>
        </is>
      </c>
      <c r="H4" s="3" t="inlineStr">
        <is>
          <t>DCF Price</t>
        </is>
      </c>
      <c r="I4" s="3" t="inlineStr">
        <is>
          <t>Comps Price</t>
        </is>
      </c>
      <c r="J4" s="3" t="inlineStr">
        <is>
          <t>Blended Price</t>
        </is>
      </c>
      <c r="K4" s="3" t="inlineStr">
        <is>
          <t>DCF Upside</t>
        </is>
      </c>
      <c r="L4" s="3" t="inlineStr">
        <is>
          <t>Comps Upside</t>
        </is>
      </c>
      <c r="M4" s="3" t="inlineStr">
        <is>
          <t>Blended Upside</t>
        </is>
      </c>
      <c r="N4" s="3" t="inlineStr">
        <is>
          <t>DCF Score</t>
        </is>
      </c>
      <c r="O4" s="3" t="inlineStr">
        <is>
          <t>Comps Score</t>
        </is>
      </c>
      <c r="P4" s="3" t="inlineStr">
        <is>
          <t>Signals Agree?</t>
        </is>
      </c>
      <c r="Q4" s="3" t="inlineStr">
        <is>
          <t>EV / Revenue</t>
        </is>
      </c>
      <c r="R4" s="3" t="inlineStr">
        <is>
          <t>Fair EV / Revenue</t>
        </is>
      </c>
    </row>
    <row r="5">
      <c r="A5" s="4" t="inlineStr">
        <is>
          <t>HUBS</t>
        </is>
      </c>
      <c r="B5" s="5" t="n">
        <v>1</v>
      </c>
      <c r="C5" t="inlineStr">
        <is>
          <t>HubSpot, Inc.</t>
        </is>
      </c>
      <c r="D5" t="inlineStr">
        <is>
          <t>Maturing</t>
        </is>
      </c>
      <c r="E5" s="6" t="inlineStr">
        <is>
          <t>Undervalued</t>
        </is>
      </c>
      <c r="F5" s="7" t="n">
        <v>100</v>
      </c>
      <c r="G5" s="8" t="n">
        <v>234.87</v>
      </c>
      <c r="H5" s="8" t="n">
        <v>369.961485385814</v>
      </c>
      <c r="I5" s="8" t="n">
        <v>726.1672811888071</v>
      </c>
      <c r="J5" s="8" t="n">
        <v>548.0643832873105</v>
      </c>
      <c r="K5" s="9" t="n">
        <v>0.5751755668489547</v>
      </c>
      <c r="L5" s="9" t="n">
        <v>2.091783885506055</v>
      </c>
      <c r="M5" s="9" t="n">
        <v>1.333479726177505</v>
      </c>
      <c r="N5" s="5" t="n">
        <v>100</v>
      </c>
      <c r="O5" s="5" t="n">
        <v>100</v>
      </c>
      <c r="P5" t="inlineStr">
        <is>
          <t>Yes</t>
        </is>
      </c>
      <c r="Q5" s="10" t="n">
        <v>3.196240666874038</v>
      </c>
      <c r="R5" s="10" t="n">
        <v>11.02027321156658</v>
      </c>
    </row>
    <row r="6">
      <c r="A6" s="4" t="inlineStr">
        <is>
          <t>ADBE</t>
        </is>
      </c>
      <c r="B6" s="5" t="n">
        <v>2</v>
      </c>
      <c r="C6" t="inlineStr">
        <is>
          <t>Adobe Inc.</t>
        </is>
      </c>
      <c r="D6" t="inlineStr">
        <is>
          <t>Mature, profitable</t>
        </is>
      </c>
      <c r="E6" s="6" t="inlineStr">
        <is>
          <t>Undervalued</t>
        </is>
      </c>
      <c r="F6" s="7" t="n">
        <v>86.11111111111111</v>
      </c>
      <c r="G6" s="8" t="n">
        <v>250.23</v>
      </c>
      <c r="H6" s="8" t="n">
        <v>376.475391259613</v>
      </c>
      <c r="I6" s="8" t="n">
        <v>321.4303455698741</v>
      </c>
      <c r="J6" s="8" t="n">
        <v>348.9528684147435</v>
      </c>
      <c r="K6" s="9" t="n">
        <v>0.5045174090221516</v>
      </c>
      <c r="L6" s="9" t="n">
        <v>0.2845396058421219</v>
      </c>
      <c r="M6" s="9" t="n">
        <v>0.3945285074321365</v>
      </c>
      <c r="N6" s="5" t="n">
        <v>94.44444444444444</v>
      </c>
      <c r="O6" s="5" t="n">
        <v>77.77777777777779</v>
      </c>
      <c r="P6" t="inlineStr">
        <is>
          <t>Yes</t>
        </is>
      </c>
      <c r="Q6" s="10" t="n">
        <v>4.081135540241491</v>
      </c>
      <c r="R6" s="10" t="n">
        <v>5.246989087938717</v>
      </c>
    </row>
    <row r="7">
      <c r="A7" s="4" t="inlineStr">
        <is>
          <t>WDAY</t>
        </is>
      </c>
      <c r="B7" s="5" t="n">
        <v>3</v>
      </c>
      <c r="C7" t="inlineStr">
        <is>
          <t>Workday, Inc.</t>
        </is>
      </c>
      <c r="D7" t="inlineStr">
        <is>
          <t>Growth, profitable</t>
        </is>
      </c>
      <c r="E7" s="6" t="inlineStr">
        <is>
          <t>Undervalued</t>
        </is>
      </c>
      <c r="F7" s="7" t="n">
        <v>83.33333333333334</v>
      </c>
      <c r="G7" s="8" t="n">
        <v>197.82</v>
      </c>
      <c r="H7" s="8" t="n">
        <v>225.4372808167587</v>
      </c>
      <c r="I7" s="8" t="n">
        <v>279.3540013212914</v>
      </c>
      <c r="J7" s="8" t="n">
        <v>252.3956410690251</v>
      </c>
      <c r="K7" s="9" t="n">
        <v>0.1396081327305565</v>
      </c>
      <c r="L7" s="9" t="n">
        <v>0.4121625787144447</v>
      </c>
      <c r="M7" s="9" t="n">
        <v>0.2758853557225005</v>
      </c>
      <c r="N7" s="5" t="n">
        <v>83.33333333333334</v>
      </c>
      <c r="O7" s="5" t="n">
        <v>83.33333333333334</v>
      </c>
      <c r="P7" t="inlineStr">
        <is>
          <t>Yes</t>
        </is>
      </c>
      <c r="Q7" s="10" t="n">
        <v>4.780065394245846</v>
      </c>
      <c r="R7" s="10" t="n">
        <v>6.857236780948141</v>
      </c>
    </row>
    <row r="8">
      <c r="A8" s="4" t="inlineStr">
        <is>
          <t>PCTY</t>
        </is>
      </c>
      <c r="B8" s="5" t="n">
        <v>4</v>
      </c>
      <c r="C8" t="inlineStr">
        <is>
          <t>Paylocity Holding Corporation</t>
        </is>
      </c>
      <c r="D8" t="inlineStr">
        <is>
          <t>Mature, profitable</t>
        </is>
      </c>
      <c r="E8" s="6" t="inlineStr">
        <is>
          <t>Undervalued</t>
        </is>
      </c>
      <c r="F8" s="7" t="n">
        <v>77.77777777777777</v>
      </c>
      <c r="G8" s="8" t="n">
        <v>170.91</v>
      </c>
      <c r="H8" s="8" t="n">
        <v>244.9519902855507</v>
      </c>
      <c r="I8" s="8" t="n">
        <v>207.2082811020749</v>
      </c>
      <c r="J8" s="8" t="n">
        <v>226.0801356938128</v>
      </c>
      <c r="K8" s="9" t="n">
        <v>0.433222106872335</v>
      </c>
      <c r="L8" s="9" t="n">
        <v>0.2123824299460235</v>
      </c>
      <c r="M8" s="9" t="n">
        <v>0.3228022684091791</v>
      </c>
      <c r="N8" s="5" t="n">
        <v>88.88888888888889</v>
      </c>
      <c r="O8" s="5" t="n">
        <v>66.66666666666666</v>
      </c>
      <c r="P8" t="inlineStr">
        <is>
          <t>Yes</t>
        </is>
      </c>
      <c r="Q8" s="10" t="n">
        <v>5.184206022372479</v>
      </c>
      <c r="R8" s="10" t="n">
        <v>6.309297181976995</v>
      </c>
    </row>
    <row r="9">
      <c r="A9" s="4" t="inlineStr">
        <is>
          <t>NOW</t>
        </is>
      </c>
      <c r="B9" s="5" t="n">
        <v>5</v>
      </c>
      <c r="C9" t="inlineStr">
        <is>
          <t>ServiceNow, Inc.</t>
        </is>
      </c>
      <c r="D9" t="inlineStr">
        <is>
          <t>Growth, profitable</t>
        </is>
      </c>
      <c r="E9" s="6" t="inlineStr">
        <is>
          <t>Undervalued</t>
        </is>
      </c>
      <c r="F9" s="7" t="n">
        <v>75</v>
      </c>
      <c r="G9" s="8" t="n">
        <v>105.12</v>
      </c>
      <c r="H9" s="8" t="n">
        <v>104.3503592141274</v>
      </c>
      <c r="I9" s="8" t="n">
        <v>156.8415810449708</v>
      </c>
      <c r="J9" s="8" t="n">
        <v>130.5959701295491</v>
      </c>
      <c r="K9" s="11" t="n">
        <v>-0.0073215447666723</v>
      </c>
      <c r="L9" s="9" t="n">
        <v>0.4920241728022339</v>
      </c>
      <c r="M9" s="9" t="n">
        <v>0.2423513140177809</v>
      </c>
      <c r="N9" s="5" t="n">
        <v>61.11111111111111</v>
      </c>
      <c r="O9" s="5" t="n">
        <v>88.88888888888889</v>
      </c>
      <c r="P9" t="inlineStr">
        <is>
          <t>No</t>
        </is>
      </c>
      <c r="Q9" s="10" t="n">
        <v>7.856065682181051</v>
      </c>
      <c r="R9" s="10" t="n">
        <v>11.89904736141527</v>
      </c>
    </row>
    <row r="10">
      <c r="A10" s="4" t="inlineStr">
        <is>
          <t>TEAM</t>
        </is>
      </c>
      <c r="B10" s="5" t="n">
        <v>6</v>
      </c>
      <c r="C10" t="inlineStr">
        <is>
          <t>Atlassian Corporation</t>
        </is>
      </c>
      <c r="D10" t="inlineStr">
        <is>
          <t>Growth, profitable</t>
        </is>
      </c>
      <c r="E10" s="6" t="inlineStr">
        <is>
          <t>Undervalued</t>
        </is>
      </c>
      <c r="F10" s="7" t="n">
        <v>69.44444444444444</v>
      </c>
      <c r="G10" s="8" t="n">
        <v>191.72</v>
      </c>
      <c r="H10" s="8" t="n">
        <v>142.2428072390134</v>
      </c>
      <c r="I10" s="8" t="n">
        <v>335.0416354310466</v>
      </c>
      <c r="J10" s="8" t="n">
        <v>238.6422213350301</v>
      </c>
      <c r="K10" s="11" t="n">
        <v>-0.2580700644741631</v>
      </c>
      <c r="L10" s="9" t="n">
        <v>0.7475570385512551</v>
      </c>
      <c r="M10" s="9" t="n">
        <v>0.2447434870385461</v>
      </c>
      <c r="N10" s="5" t="n">
        <v>44.44444444444444</v>
      </c>
      <c r="O10" s="5" t="n">
        <v>94.44444444444444</v>
      </c>
      <c r="P10" t="inlineStr">
        <is>
          <t>No</t>
        </is>
      </c>
      <c r="Q10" s="10" t="n">
        <v>8.191960082839509</v>
      </c>
      <c r="R10" s="10" t="n">
        <v>14.34762084931938</v>
      </c>
    </row>
    <row r="11">
      <c r="A11" s="4" t="inlineStr">
        <is>
          <t>CRM</t>
        </is>
      </c>
      <c r="B11" s="5" t="n">
        <v>7</v>
      </c>
      <c r="C11" t="inlineStr">
        <is>
          <t>Salesforce, Inc.</t>
        </is>
      </c>
      <c r="D11" t="inlineStr">
        <is>
          <t>Mature, profitable</t>
        </is>
      </c>
      <c r="E11" s="12" t="inlineStr">
        <is>
          <t>In line</t>
        </is>
      </c>
      <c r="F11" s="7" t="n">
        <v>63.88888888888889</v>
      </c>
      <c r="G11" s="8" t="n">
        <v>229.17</v>
      </c>
      <c r="H11" s="8" t="n">
        <v>253.667259410066</v>
      </c>
      <c r="I11" s="8" t="n">
        <v>251.3618087033946</v>
      </c>
      <c r="J11" s="8" t="n">
        <v>252.5145340567303</v>
      </c>
      <c r="K11" s="9" t="n">
        <v>0.106895577126439</v>
      </c>
      <c r="L11" s="9" t="n">
        <v>0.0968355749155414</v>
      </c>
      <c r="M11" s="9" t="n">
        <v>0.1018655760209903</v>
      </c>
      <c r="N11" s="5" t="n">
        <v>77.77777777777779</v>
      </c>
      <c r="O11" s="5" t="n">
        <v>50</v>
      </c>
      <c r="P11" t="inlineStr">
        <is>
          <t>Yes</t>
        </is>
      </c>
      <c r="Q11" s="10" t="n">
        <v>4.693575265158591</v>
      </c>
      <c r="R11" s="10" t="n">
        <v>5.136630834597295</v>
      </c>
    </row>
    <row r="12">
      <c r="A12" s="4" t="inlineStr">
        <is>
          <t>DOCU</t>
        </is>
      </c>
      <c r="B12" s="5" t="n">
        <v>8</v>
      </c>
      <c r="C12" t="inlineStr">
        <is>
          <t>DocuSign, Inc.</t>
        </is>
      </c>
      <c r="D12" t="inlineStr">
        <is>
          <t>Maturing</t>
        </is>
      </c>
      <c r="E12" s="12" t="inlineStr">
        <is>
          <t>In line</t>
        </is>
      </c>
      <c r="F12" s="7" t="n">
        <v>58.33333333333333</v>
      </c>
      <c r="G12" s="8" t="n">
        <v>82.17</v>
      </c>
      <c r="H12" s="8" t="n">
        <v>87.16774073265853</v>
      </c>
      <c r="I12" s="8" t="n">
        <v>82.00014098364184</v>
      </c>
      <c r="J12" s="8" t="n">
        <v>84.58394085815019</v>
      </c>
      <c r="K12" s="9" t="n">
        <v>0.0608219634009801</v>
      </c>
      <c r="L12" s="11" t="n">
        <v>-0.002067165831302953</v>
      </c>
      <c r="M12" s="9" t="n">
        <v>0.02937739878483847</v>
      </c>
      <c r="N12" s="5" t="n">
        <v>72.22222222222221</v>
      </c>
      <c r="O12" s="5" t="n">
        <v>44.44444444444444</v>
      </c>
      <c r="P12" t="inlineStr">
        <is>
          <t>No</t>
        </is>
      </c>
      <c r="Q12" s="10" t="n">
        <v>4.612093448924637</v>
      </c>
      <c r="R12" s="10" t="n">
        <v>4.602170227026895</v>
      </c>
    </row>
    <row r="13">
      <c r="A13" s="4" t="inlineStr">
        <is>
          <t>TWLO</t>
        </is>
      </c>
      <c r="B13" s="5" t="n">
        <v>9</v>
      </c>
      <c r="C13" t="inlineStr">
        <is>
          <t>Twilio Inc.</t>
        </is>
      </c>
      <c r="D13" t="inlineStr">
        <is>
          <t>Maturing</t>
        </is>
      </c>
      <c r="E13" s="12" t="inlineStr">
        <is>
          <t>In line</t>
        </is>
      </c>
      <c r="F13" s="7" t="n">
        <v>55.55555555555556</v>
      </c>
      <c r="G13" s="8" t="n">
        <v>205.03</v>
      </c>
      <c r="H13" s="8" t="n">
        <v>155.9086794421973</v>
      </c>
      <c r="I13" s="8" t="n">
        <v>238.1692925726628</v>
      </c>
      <c r="J13" s="8" t="n">
        <v>197.03898600743</v>
      </c>
      <c r="K13" s="11" t="n">
        <v>-0.2395811371887173</v>
      </c>
      <c r="L13" s="9" t="n">
        <v>0.1616314323399639</v>
      </c>
      <c r="M13" s="11" t="n">
        <v>-0.03897485242437682</v>
      </c>
      <c r="N13" s="5" t="n">
        <v>50</v>
      </c>
      <c r="O13" s="5" t="n">
        <v>61.11111111111111</v>
      </c>
      <c r="P13" t="inlineStr">
        <is>
          <t>No</t>
        </is>
      </c>
      <c r="Q13" s="10" t="n">
        <v>5.922275313090807</v>
      </c>
      <c r="R13" s="10" t="n">
        <v>6.926647350545215</v>
      </c>
    </row>
    <row r="14">
      <c r="A14" s="4" t="inlineStr">
        <is>
          <t>ZM</t>
        </is>
      </c>
      <c r="B14" s="5" t="n">
        <v>10</v>
      </c>
      <c r="C14" t="inlineStr">
        <is>
          <t>Zoom Communications, Inc.</t>
        </is>
      </c>
      <c r="D14" t="inlineStr">
        <is>
          <t>Maturing</t>
        </is>
      </c>
      <c r="E14" s="12" t="inlineStr">
        <is>
          <t>In line</t>
        </is>
      </c>
      <c r="F14" s="7" t="n">
        <v>49.99999999999999</v>
      </c>
      <c r="G14" s="8" t="n">
        <v>95.5</v>
      </c>
      <c r="H14" s="8" t="n">
        <v>99.65141074225843</v>
      </c>
      <c r="I14" s="8" t="n">
        <v>82.0007558710136</v>
      </c>
      <c r="J14" s="8" t="n">
        <v>90.82608330663601</v>
      </c>
      <c r="K14" s="9" t="n">
        <v>0.0434702695524444</v>
      </c>
      <c r="L14" s="11" t="n">
        <v>-0.1413533416647791</v>
      </c>
      <c r="M14" s="11" t="n">
        <v>-0.04894153605616747</v>
      </c>
      <c r="N14" s="5" t="n">
        <v>66.66666666666666</v>
      </c>
      <c r="O14" s="5" t="n">
        <v>33.33333333333333</v>
      </c>
      <c r="P14" t="inlineStr">
        <is>
          <t>No</t>
        </is>
      </c>
      <c r="Q14" s="10" t="n">
        <v>4.13214383345701</v>
      </c>
      <c r="R14" s="10" t="n">
        <v>3.320313226982331</v>
      </c>
    </row>
    <row r="15">
      <c r="A15" s="4" t="inlineStr">
        <is>
          <t>MDB</t>
        </is>
      </c>
      <c r="B15" s="5" t="n">
        <v>11</v>
      </c>
      <c r="C15" t="inlineStr">
        <is>
          <t>MongoDB, Inc.</t>
        </is>
      </c>
      <c r="D15" t="inlineStr">
        <is>
          <t>High growth, unprofitable</t>
        </is>
      </c>
      <c r="E15" s="12" t="inlineStr">
        <is>
          <t>In line</t>
        </is>
      </c>
      <c r="F15" s="7" t="n">
        <v>47.22222222222221</v>
      </c>
      <c r="G15" s="8" t="n">
        <v>352.96</v>
      </c>
      <c r="H15" s="8" t="n">
        <v>162.276496012086</v>
      </c>
      <c r="I15" s="8" t="n">
        <v>428.5607491976577</v>
      </c>
      <c r="J15" s="8" t="n">
        <v>295.4186226048719</v>
      </c>
      <c r="K15" s="11" t="n">
        <v>-0.540241115106284</v>
      </c>
      <c r="L15" s="9" t="n">
        <v>0.2141906992227385</v>
      </c>
      <c r="M15" s="11" t="n">
        <v>-0.1630252079417728</v>
      </c>
      <c r="N15" s="5" t="n">
        <v>22.22222222222222</v>
      </c>
      <c r="O15" s="5" t="n">
        <v>72.22222222222221</v>
      </c>
      <c r="P15" t="inlineStr">
        <is>
          <t>No</t>
        </is>
      </c>
      <c r="Q15" s="10" t="n">
        <v>10.73755837380588</v>
      </c>
      <c r="R15" s="10" t="n">
        <v>13.24823963326811</v>
      </c>
    </row>
    <row r="16">
      <c r="A16" s="4" t="inlineStr">
        <is>
          <t>ZS</t>
        </is>
      </c>
      <c r="B16" s="5" t="n">
        <v>12</v>
      </c>
      <c r="C16" t="inlineStr">
        <is>
          <t>Zscaler, Inc.</t>
        </is>
      </c>
      <c r="D16" t="inlineStr">
        <is>
          <t>High growth, unprofitable</t>
        </is>
      </c>
      <c r="E16" s="12" t="inlineStr">
        <is>
          <t>In line</t>
        </is>
      </c>
      <c r="F16" s="7" t="n">
        <v>44.44444444444444</v>
      </c>
      <c r="G16" s="8" t="n">
        <v>237.83</v>
      </c>
      <c r="H16" s="8" t="n">
        <v>139.4439977617566</v>
      </c>
      <c r="I16" s="8" t="n">
        <v>266.0360438983563</v>
      </c>
      <c r="J16" s="8" t="n">
        <v>202.7400208300564</v>
      </c>
      <c r="K16" s="11" t="n">
        <v>-0.4136820512056655</v>
      </c>
      <c r="L16" s="9" t="n">
        <v>0.1185975019903136</v>
      </c>
      <c r="M16" s="11" t="n">
        <v>-0.147542274607676</v>
      </c>
      <c r="N16" s="5" t="n">
        <v>33.33333333333333</v>
      </c>
      <c r="O16" s="5" t="n">
        <v>55.55555555555556</v>
      </c>
      <c r="P16" t="inlineStr">
        <is>
          <t>No</t>
        </is>
      </c>
      <c r="Q16" s="10" t="n">
        <v>13.37774189559688</v>
      </c>
      <c r="R16" s="10" t="n">
        <v>14.93349784577565</v>
      </c>
    </row>
    <row r="17">
      <c r="A17" s="4" t="inlineStr">
        <is>
          <t>PAYC</t>
        </is>
      </c>
      <c r="B17" s="5" t="n">
        <v>13</v>
      </c>
      <c r="C17" t="inlineStr">
        <is>
          <t>Paycom Software, Inc.</t>
        </is>
      </c>
      <c r="D17" t="inlineStr">
        <is>
          <t>Mature, profitable</t>
        </is>
      </c>
      <c r="E17" s="12" t="inlineStr">
        <is>
          <t>In line</t>
        </is>
      </c>
      <c r="F17" s="7" t="n">
        <v>41.66666666666667</v>
      </c>
      <c r="G17" s="8" t="n">
        <v>264.2</v>
      </c>
      <c r="H17" s="8" t="n">
        <v>245.6528149111778</v>
      </c>
      <c r="I17" s="8" t="n">
        <v>226.3620019932689</v>
      </c>
      <c r="J17" s="8" t="n">
        <v>236.0074084522234</v>
      </c>
      <c r="K17" s="11" t="n">
        <v>-0.0702013061651104</v>
      </c>
      <c r="L17" s="11" t="n">
        <v>-0.1432172521072334</v>
      </c>
      <c r="M17" s="11" t="n">
        <v>-0.1067092791361719</v>
      </c>
      <c r="N17" s="5" t="n">
        <v>55.55555555555556</v>
      </c>
      <c r="O17" s="5" t="n">
        <v>27.77777777777778</v>
      </c>
      <c r="P17" t="inlineStr">
        <is>
          <t>Yes</t>
        </is>
      </c>
      <c r="Q17" s="10" t="n">
        <v>5.623591628405713</v>
      </c>
      <c r="R17" s="10" t="n">
        <v>4.79236873892657</v>
      </c>
    </row>
    <row r="18">
      <c r="A18" s="4" t="inlineStr">
        <is>
          <t>VEEV</t>
        </is>
      </c>
      <c r="B18" s="5" t="n">
        <v>14</v>
      </c>
      <c r="C18" t="inlineStr">
        <is>
          <t>Veeva Systems Inc.</t>
        </is>
      </c>
      <c r="D18" t="inlineStr">
        <is>
          <t>Mature, profitable</t>
        </is>
      </c>
      <c r="E18" s="13" t="inlineStr">
        <is>
          <t>Overvalued</t>
        </is>
      </c>
      <c r="F18" s="7" t="n">
        <v>27.77777777777778</v>
      </c>
      <c r="G18" s="8" t="n">
        <v>312.96</v>
      </c>
      <c r="H18" s="8" t="n">
        <v>198.2899815049556</v>
      </c>
      <c r="I18" s="8" t="n">
        <v>197.6061996583332</v>
      </c>
      <c r="J18" s="8" t="n">
        <v>197.9480905816444</v>
      </c>
      <c r="K18" s="11" t="n">
        <v>-0.3664047114488892</v>
      </c>
      <c r="L18" s="11" t="n">
        <v>-0.3685895972062461</v>
      </c>
      <c r="M18" s="11" t="n">
        <v>-0.3674971543275677</v>
      </c>
      <c r="N18" s="5" t="n">
        <v>38.88888888888889</v>
      </c>
      <c r="O18" s="5" t="n">
        <v>16.66666666666666</v>
      </c>
      <c r="P18" t="inlineStr">
        <is>
          <t>Yes</t>
        </is>
      </c>
      <c r="Q18" s="10" t="n">
        <v>13.96811173430613</v>
      </c>
      <c r="R18" s="10" t="n">
        <v>8.053838715896836</v>
      </c>
    </row>
    <row r="19">
      <c r="A19" s="4" t="inlineStr">
        <is>
          <t>SNOW</t>
        </is>
      </c>
      <c r="B19" s="5" t="n">
        <v>15</v>
      </c>
      <c r="C19" t="inlineStr">
        <is>
          <t>Snowflake Inc.</t>
        </is>
      </c>
      <c r="D19" t="inlineStr">
        <is>
          <t>High growth, unprofitable</t>
        </is>
      </c>
      <c r="E19" s="13" t="inlineStr">
        <is>
          <t>Overvalued</t>
        </is>
      </c>
      <c r="F19" s="7" t="n">
        <v>25</v>
      </c>
      <c r="G19" s="8" t="n">
        <v>306.08</v>
      </c>
      <c r="H19" s="8" t="n">
        <v>89.23124019187139</v>
      </c>
      <c r="I19" s="8" t="n">
        <v>269.3621347108286</v>
      </c>
      <c r="J19" s="8" t="n">
        <v>179.29668745135</v>
      </c>
      <c r="K19" s="11" t="n">
        <v>-0.7084708566653444</v>
      </c>
      <c r="L19" s="11" t="n">
        <v>-0.1199616612949929</v>
      </c>
      <c r="M19" s="11" t="n">
        <v>-0.4142162589801686</v>
      </c>
      <c r="N19" s="5" t="n">
        <v>11.11111111111111</v>
      </c>
      <c r="O19" s="5" t="n">
        <v>38.88888888888889</v>
      </c>
      <c r="P19" t="inlineStr">
        <is>
          <t>Yes</t>
        </is>
      </c>
      <c r="Q19" s="10" t="n">
        <v>23.11562095109607</v>
      </c>
      <c r="R19" s="10" t="n">
        <v>20.29695721196258</v>
      </c>
    </row>
    <row r="20">
      <c r="A20" s="4" t="inlineStr">
        <is>
          <t>OKTA</t>
        </is>
      </c>
      <c r="B20" s="5" t="n">
        <v>16</v>
      </c>
      <c r="C20" t="inlineStr">
        <is>
          <t>Okta, Inc.</t>
        </is>
      </c>
      <c r="D20" t="inlineStr">
        <is>
          <t>High growth, unprofitable</t>
        </is>
      </c>
      <c r="E20" s="13" t="inlineStr">
        <is>
          <t>Overvalued</t>
        </is>
      </c>
      <c r="F20" s="7" t="n">
        <v>19.44444444444444</v>
      </c>
      <c r="G20" s="8" t="n">
        <v>208.24</v>
      </c>
      <c r="H20" s="8" t="n">
        <v>103.8633934378699</v>
      </c>
      <c r="I20" s="8" t="n">
        <v>98.47813979322858</v>
      </c>
      <c r="J20" s="8" t="n">
        <v>101.1707666155492</v>
      </c>
      <c r="K20" s="11" t="n">
        <v>-0.5012322635522961</v>
      </c>
      <c r="L20" s="11" t="n">
        <v>-0.5270930666863783</v>
      </c>
      <c r="M20" s="11" t="n">
        <v>-0.5141626651193372</v>
      </c>
      <c r="N20" s="5" t="n">
        <v>27.77777777777778</v>
      </c>
      <c r="O20" s="5" t="n">
        <v>11.11111111111111</v>
      </c>
      <c r="P20" t="inlineStr">
        <is>
          <t>Yes</t>
        </is>
      </c>
      <c r="Q20" s="10" t="n">
        <v>12.40705484282382</v>
      </c>
      <c r="R20" s="10" t="n">
        <v>5.774834679924379</v>
      </c>
    </row>
    <row r="21">
      <c r="A21" s="4" t="inlineStr">
        <is>
          <t>DDOG</t>
        </is>
      </c>
      <c r="B21" s="5" t="n">
        <v>17</v>
      </c>
      <c r="C21" t="inlineStr">
        <is>
          <t>Datadog, Inc.</t>
        </is>
      </c>
      <c r="D21" t="inlineStr">
        <is>
          <t>High growth, unprofitable</t>
        </is>
      </c>
      <c r="E21" s="13" t="inlineStr">
        <is>
          <t>Overvalued</t>
        </is>
      </c>
      <c r="F21" s="7" t="n">
        <v>19.44444444444444</v>
      </c>
      <c r="G21" s="8" t="n">
        <v>235.27</v>
      </c>
      <c r="H21" s="8" t="n">
        <v>72.86128834260121</v>
      </c>
      <c r="I21" s="8" t="n">
        <v>179.5441165386042</v>
      </c>
      <c r="J21" s="8" t="n">
        <v>126.2027024406027</v>
      </c>
      <c r="K21" s="11" t="n">
        <v>-0.6903077810915068</v>
      </c>
      <c r="L21" s="11" t="n">
        <v>-0.236859282787418</v>
      </c>
      <c r="M21" s="11" t="n">
        <v>-0.4635835319394623</v>
      </c>
      <c r="N21" s="5" t="n">
        <v>16.66666666666666</v>
      </c>
      <c r="O21" s="5" t="n">
        <v>22.22222222222222</v>
      </c>
      <c r="P21" t="inlineStr">
        <is>
          <t>Yes</t>
        </is>
      </c>
      <c r="Q21" s="10" t="n">
        <v>23.63129893865413</v>
      </c>
      <c r="R21" s="10" t="n">
        <v>17.79270811442963</v>
      </c>
    </row>
    <row r="22">
      <c r="A22" s="4" t="inlineStr">
        <is>
          <t>CRWD</t>
        </is>
      </c>
      <c r="B22" s="5" t="n">
        <v>18</v>
      </c>
      <c r="C22" t="inlineStr">
        <is>
          <t>CrowdStrike Holdings, Inc.</t>
        </is>
      </c>
      <c r="D22" t="inlineStr">
        <is>
          <t>High growth, unprofitable</t>
        </is>
      </c>
      <c r="E22" s="13" t="inlineStr">
        <is>
          <t>Overvalued</t>
        </is>
      </c>
      <c r="F22" s="7" t="n">
        <v>5.555555555555555</v>
      </c>
      <c r="G22" s="8" t="n">
        <v>250.43</v>
      </c>
      <c r="H22" s="8" t="n">
        <v>33.41186342074332</v>
      </c>
      <c r="I22" s="8" t="n">
        <v>55.24934496909514</v>
      </c>
      <c r="J22" s="8" t="n">
        <v>44.33060419491923</v>
      </c>
      <c r="K22" s="11" t="n">
        <v>-0.8665820252336249</v>
      </c>
      <c r="L22" s="11" t="n">
        <v>-0.779382082940961</v>
      </c>
      <c r="M22" s="11" t="n">
        <v>-0.822982054087293</v>
      </c>
      <c r="N22" s="5" t="n">
        <v>5.555555555555555</v>
      </c>
      <c r="O22" s="5" t="n">
        <v>5.555555555555555</v>
      </c>
      <c r="P22" t="inlineStr">
        <is>
          <t>Yes</t>
        </is>
      </c>
      <c r="Q22" s="10" t="n">
        <v>53.14645484730876</v>
      </c>
      <c r="R22" s="10" t="n">
        <v>10.98773737470539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5" customWidth="1" min="4" max="4"/>
    <col width="12" customWidth="1" min="5" max="5"/>
    <col width="18" customWidth="1" min="6" max="6"/>
  </cols>
  <sheetData>
    <row r="1">
      <c r="A1" s="1" t="inlineStr">
        <is>
          <t>Comps regression: EV / Revenue vs Revenue Growth</t>
        </is>
      </c>
    </row>
    <row r="2">
      <c r="A2" s="2" t="inlineStr">
        <is>
          <t>ln(EV/Revenue) = 0.94 + 7.19 x Revenue Growth   ·   R² = 0.49   ·   n = 18   ·   +10 pts of Revenue Growth -&gt; multiple +105%</t>
        </is>
      </c>
    </row>
    <row r="4" ht="32" customHeight="1">
      <c r="A4" s="3" t="inlineStr">
        <is>
          <t>Ticker</t>
        </is>
      </c>
      <c r="B4" s="3" t="inlineStr">
        <is>
          <t>Revenue Growth</t>
        </is>
      </c>
      <c r="C4" s="3" t="inlineStr">
        <is>
          <t>EV / Revenue</t>
        </is>
      </c>
      <c r="D4" s="3" t="inlineStr">
        <is>
          <t>Fair EV / Revenue</t>
        </is>
      </c>
      <c r="E4" s="3" t="inlineStr">
        <is>
          <t>Fitted line</t>
        </is>
      </c>
      <c r="F4" s="3" t="inlineStr">
        <is>
          <t>Premium / (Discount) to Fair</t>
        </is>
      </c>
    </row>
    <row r="5">
      <c r="A5" s="4" t="inlineStr">
        <is>
          <t>ZM</t>
        </is>
      </c>
      <c r="B5" s="14" t="n">
        <v>0.0425252126851534</v>
      </c>
      <c r="C5" s="10" t="n">
        <v>4.13214383345701</v>
      </c>
      <c r="D5" s="10" t="n">
        <v>3.320313226982331</v>
      </c>
      <c r="E5" s="10" t="n">
        <v>3.483880418261881</v>
      </c>
      <c r="F5" s="11" t="n">
        <v>0.2445042232393575</v>
      </c>
    </row>
    <row r="6">
      <c r="A6" s="4" t="inlineStr">
        <is>
          <t>DOCU</t>
        </is>
      </c>
      <c r="B6" s="14" t="n">
        <v>0.08126026885982759</v>
      </c>
      <c r="C6" s="10" t="n">
        <v>4.612093448924637</v>
      </c>
      <c r="D6" s="10" t="n">
        <v>4.602170227026895</v>
      </c>
      <c r="E6" s="10" t="n">
        <v>4.603483042618406</v>
      </c>
      <c r="F6" s="11" t="n">
        <v>0.002156204879051549</v>
      </c>
    </row>
    <row r="7">
      <c r="A7" s="4" t="inlineStr">
        <is>
          <t>PAYC</t>
        </is>
      </c>
      <c r="B7" s="14" t="n">
        <v>0.0894753610875106</v>
      </c>
      <c r="C7" s="10" t="n">
        <v>5.623591628405713</v>
      </c>
      <c r="D7" s="10" t="n">
        <v>4.79236873892657</v>
      </c>
      <c r="E7" s="10" t="n">
        <v>4.883752825722325</v>
      </c>
      <c r="F7" s="11" t="n">
        <v>0.1734471896386933</v>
      </c>
    </row>
    <row r="8">
      <c r="A8" s="4" t="inlineStr">
        <is>
          <t>CRM</t>
        </is>
      </c>
      <c r="B8" s="14" t="n">
        <v>0.0951246618345723</v>
      </c>
      <c r="C8" s="10" t="n">
        <v>4.693575265158591</v>
      </c>
      <c r="D8" s="10" t="n">
        <v>5.136630834597295</v>
      </c>
      <c r="E8" s="10" t="n">
        <v>5.086327001060017</v>
      </c>
      <c r="F8" s="9" t="n">
        <v>-0.08625411942289962</v>
      </c>
    </row>
    <row r="9">
      <c r="A9" s="4" t="inlineStr">
        <is>
          <t>ADBE</t>
        </is>
      </c>
      <c r="B9" s="14" t="n">
        <v>0.0956654015764971</v>
      </c>
      <c r="C9" s="10" t="n">
        <v>4.081135540241491</v>
      </c>
      <c r="D9" s="10" t="n">
        <v>5.246989087938717</v>
      </c>
      <c r="E9" s="10" t="n">
        <v>5.106152224883015</v>
      </c>
      <c r="F9" s="9" t="n">
        <v>-0.2221947726891942</v>
      </c>
    </row>
    <row r="10">
      <c r="A10" s="4" t="inlineStr">
        <is>
          <t>OKTA</t>
        </is>
      </c>
      <c r="B10" s="14" t="n">
        <v>0.1209440480418428</v>
      </c>
      <c r="C10" s="10" t="n">
        <v>12.40705484282382</v>
      </c>
      <c r="D10" s="10" t="n">
        <v>5.774834679924379</v>
      </c>
      <c r="E10" s="10" t="n">
        <v>6.124547871600132</v>
      </c>
      <c r="F10" s="11" t="n">
        <v>1.148469268904904</v>
      </c>
    </row>
    <row r="11">
      <c r="A11" s="4" t="inlineStr">
        <is>
          <t>PCTY</t>
        </is>
      </c>
      <c r="B11" s="14" t="n">
        <v>0.1230298465241769</v>
      </c>
      <c r="C11" s="10" t="n">
        <v>5.184206022372479</v>
      </c>
      <c r="D11" s="10" t="n">
        <v>6.309297181976995</v>
      </c>
      <c r="E11" s="10" t="n">
        <v>6.217143267784399</v>
      </c>
      <c r="F11" s="9" t="n">
        <v>-0.178322739784461</v>
      </c>
    </row>
    <row r="12">
      <c r="A12" s="4" t="inlineStr">
        <is>
          <t>WDAY</t>
        </is>
      </c>
      <c r="B12" s="14" t="n">
        <v>0.1333100384365797</v>
      </c>
      <c r="C12" s="10" t="n">
        <v>4.780065394245846</v>
      </c>
      <c r="D12" s="10" t="n">
        <v>6.857236780948141</v>
      </c>
      <c r="E12" s="10" t="n">
        <v>6.694377115053168</v>
      </c>
      <c r="F12" s="9" t="n">
        <v>-0.3029166781105505</v>
      </c>
    </row>
    <row r="13">
      <c r="A13" s="4" t="inlineStr">
        <is>
          <t>TWLO</t>
        </is>
      </c>
      <c r="B13" s="14" t="n">
        <v>0.136648515175741</v>
      </c>
      <c r="C13" s="10" t="n">
        <v>5.922275313090807</v>
      </c>
      <c r="D13" s="10" t="n">
        <v>6.926647350545215</v>
      </c>
      <c r="E13" s="10" t="n">
        <v>6.857106068588005</v>
      </c>
      <c r="F13" s="9" t="n">
        <v>-0.14500117973746</v>
      </c>
    </row>
    <row r="14">
      <c r="A14" s="4" t="inlineStr">
        <is>
          <t>VEEV</t>
        </is>
      </c>
      <c r="B14" s="14" t="n">
        <v>0.1632637311788301</v>
      </c>
      <c r="C14" s="10" t="n">
        <v>13.96811173430613</v>
      </c>
      <c r="D14" s="10" t="n">
        <v>8.053838715896836</v>
      </c>
      <c r="E14" s="10" t="n">
        <v>8.304186679796606</v>
      </c>
      <c r="F14" s="11" t="n">
        <v>0.7343421226868594</v>
      </c>
    </row>
    <row r="15">
      <c r="A15" s="4" t="inlineStr">
        <is>
          <t>HUBS</t>
        </is>
      </c>
      <c r="B15" s="14" t="n">
        <v>0.1917087560508048</v>
      </c>
      <c r="C15" s="10" t="n">
        <v>3.196240666874038</v>
      </c>
      <c r="D15" s="10" t="n">
        <v>11.02027321156658</v>
      </c>
      <c r="E15" s="10" t="n">
        <v>10.18991053582952</v>
      </c>
      <c r="F15" s="9" t="n">
        <v>-0.7099672026715861</v>
      </c>
    </row>
    <row r="16">
      <c r="A16" s="4" t="inlineStr">
        <is>
          <t>NOW</t>
        </is>
      </c>
      <c r="B16" s="14" t="n">
        <v>0.2088492352512745</v>
      </c>
      <c r="C16" s="10" t="n">
        <v>7.856065682181051</v>
      </c>
      <c r="D16" s="10" t="n">
        <v>11.89904736141527</v>
      </c>
      <c r="E16" s="10" t="n">
        <v>11.52720090218614</v>
      </c>
      <c r="F16" s="9" t="n">
        <v>-0.3397735597174183</v>
      </c>
    </row>
    <row r="17">
      <c r="A17" s="4" t="inlineStr">
        <is>
          <t>CRWD</t>
        </is>
      </c>
      <c r="B17" s="14" t="n">
        <v>0.2221541930904092</v>
      </c>
      <c r="C17" s="10" t="n">
        <v>53.14645484730876</v>
      </c>
      <c r="D17" s="10" t="n">
        <v>10.98773737470539</v>
      </c>
      <c r="E17" s="10" t="n">
        <v>12.68509430773231</v>
      </c>
      <c r="F17" s="11" t="n">
        <v>3.836887981110282</v>
      </c>
    </row>
    <row r="18">
      <c r="A18" s="4" t="inlineStr">
        <is>
          <t>MDB</t>
        </is>
      </c>
      <c r="B18" s="14" t="n">
        <v>0.2254084426782584</v>
      </c>
      <c r="C18" s="10" t="n">
        <v>10.73755837380588</v>
      </c>
      <c r="D18" s="10" t="n">
        <v>13.24823963326811</v>
      </c>
      <c r="E18" s="10" t="n">
        <v>12.98557651638513</v>
      </c>
      <c r="F18" s="9" t="n">
        <v>-0.1895105560407869</v>
      </c>
    </row>
    <row r="19">
      <c r="A19" s="4" t="inlineStr">
        <is>
          <t>TEAM</t>
        </is>
      </c>
      <c r="B19" s="14" t="n">
        <v>0.2312227390552258</v>
      </c>
      <c r="C19" s="10" t="n">
        <v>8.191960082839509</v>
      </c>
      <c r="D19" s="10" t="n">
        <v>14.34762084931938</v>
      </c>
      <c r="E19" s="10" t="n">
        <v>13.54027073109704</v>
      </c>
      <c r="F19" s="9" t="n">
        <v>-0.4290370390413463</v>
      </c>
    </row>
    <row r="20">
      <c r="A20" s="4" t="inlineStr">
        <is>
          <t>ZS</t>
        </is>
      </c>
      <c r="B20" s="14" t="n">
        <v>0.2429731886212083</v>
      </c>
      <c r="C20" s="10" t="n">
        <v>13.37774189559688</v>
      </c>
      <c r="D20" s="10" t="n">
        <v>14.93349784577565</v>
      </c>
      <c r="E20" s="10" t="n">
        <v>14.73466615456102</v>
      </c>
      <c r="F20" s="9" t="n">
        <v>-0.1041789382665531</v>
      </c>
    </row>
    <row r="21">
      <c r="A21" s="4" t="inlineStr">
        <is>
          <t>DDOG</t>
        </is>
      </c>
      <c r="B21" s="14" t="n">
        <v>0.2767536858183308</v>
      </c>
      <c r="C21" s="10" t="n">
        <v>23.63129893865413</v>
      </c>
      <c r="D21" s="10" t="n">
        <v>17.79270811442963</v>
      </c>
      <c r="E21" s="10" t="n">
        <v>18.78813397878188</v>
      </c>
      <c r="F21" s="11" t="n">
        <v>0.3281451472521764</v>
      </c>
    </row>
    <row r="22">
      <c r="A22" s="4" t="inlineStr">
        <is>
          <t>SNOW</t>
        </is>
      </c>
      <c r="B22" s="14" t="n">
        <v>0.2916598872820696</v>
      </c>
      <c r="C22" s="10" t="n">
        <v>23.11562095109607</v>
      </c>
      <c r="D22" s="10" t="n">
        <v>20.29695721196258</v>
      </c>
      <c r="E22" s="10" t="n">
        <v>20.91492884229838</v>
      </c>
      <c r="F22" s="11" t="n">
        <v>0.1388712460541737</v>
      </c>
    </row>
    <row r="24">
      <c r="A24" s="15" t="inlineStr">
        <is>
          <t>Fair EV/Revenue uses a line fitted on the other companies (leave-one-out), so it differs slightly from the fitted line, which uses all of them.</t>
        </is>
      </c>
    </row>
    <row r="26">
      <c r="A26" s="16" t="inlineStr">
        <is>
          <t>Which metric explains the multiples best?</t>
        </is>
      </c>
    </row>
    <row r="27" ht="32" customHeight="1">
      <c r="A27" s="3" t="inlineStr">
        <is>
          <t>Metric</t>
        </is>
      </c>
      <c r="B27" s="3" t="inlineStr">
        <is>
          <t>R²</t>
        </is>
      </c>
      <c r="C27" s="3" t="inlineStr">
        <is>
          <t>Used</t>
        </is>
      </c>
    </row>
    <row r="28">
      <c r="A28" s="4" t="inlineStr">
        <is>
          <t>Revenue Growth</t>
        </is>
      </c>
      <c r="B28" s="17" t="n">
        <v>0.489015800459894</v>
      </c>
      <c r="C28" t="inlineStr">
        <is>
          <t>Yes</t>
        </is>
      </c>
    </row>
    <row r="29">
      <c r="A29" s="4" t="inlineStr">
        <is>
          <t>Rule of 40</t>
        </is>
      </c>
      <c r="B29" s="17" t="n">
        <v>0.2625959399792598</v>
      </c>
      <c r="C29" t="inlineStr"/>
    </row>
    <row r="30">
      <c r="A30" s="4" t="inlineStr">
        <is>
          <t>FCF Margin</t>
        </is>
      </c>
      <c r="B30" s="17" t="n">
        <v>0.01316182774043673</v>
      </c>
      <c r="C30" t="inlineStr"/>
    </row>
    <row r="31">
      <c r="A31" s="15" t="inlineStr">
        <is>
          <t>R² = share of the variation in ln(EV/Revenue) the metric explains (1.0 = all of it).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the ranking works</t>
        </is>
      </c>
    </row>
    <row r="3">
      <c r="A3" s="4" t="inlineStr">
        <is>
          <t>1. DCF signal</t>
        </is>
      </c>
    </row>
    <row r="4">
      <c r="A4" t="inlineStr">
        <is>
          <t xml:space="preserve">  DCF upside = DCF implied price / current price - 1 (Stage 4: two-stage DCF, SBC expensed).</t>
        </is>
      </c>
    </row>
    <row r="5">
      <c r="A5" t="inlineStr"/>
    </row>
    <row r="6">
      <c r="A6" s="4" t="inlineStr">
        <is>
          <t>2. Comps signal</t>
        </is>
      </c>
    </row>
    <row r="7">
      <c r="A7" t="inlineStr">
        <is>
          <t xml:space="preserve">  Raw multiples aren't comparable: faster-growing, more profitable companies deserve higher ones.</t>
        </is>
      </c>
    </row>
    <row r="8">
      <c r="A8" t="inlineStr">
        <is>
          <t xml:space="preserve">  So ln(EV/Revenue) is regressed on Revenue Growth across the universe. Each company's 'fair' multiple</t>
        </is>
      </c>
    </row>
    <row r="9">
      <c r="A9" t="inlineStr">
        <is>
          <t xml:space="preserve">  comes from a line fitted on the other companies (leave-one-out), so it can't set its own benchmark.</t>
        </is>
      </c>
    </row>
    <row r="10">
      <c r="A10" t="inlineStr">
        <is>
          <t xml:space="preserve">  Comps price = (fair multiple x revenue + net cash) / shares. Comps upside = comps price / price - 1.</t>
        </is>
      </c>
    </row>
    <row r="11">
      <c r="A11" t="inlineStr"/>
    </row>
    <row r="12">
      <c r="A12" s="4" t="inlineStr">
        <is>
          <t>3. Combining</t>
        </is>
      </c>
    </row>
    <row r="13">
      <c r="A13" t="inlineStr">
        <is>
          <t xml:space="preserve">  Each upside is converted to a percentile rank (0-100) within the universe, then weighted:</t>
        </is>
      </c>
    </row>
    <row r="14">
      <c r="A14" t="inlineStr">
        <is>
          <t xml:space="preserve">  score = 0.5 x DCF percentile + 0.5 x comps percentile.</t>
        </is>
      </c>
    </row>
    <row r="15">
      <c r="A15" t="inlineStr">
        <is>
          <t xml:space="preserve">  Percentiles stop one extreme result from dominating; they measure order, not size.</t>
        </is>
      </c>
    </row>
    <row r="16">
      <c r="A16" t="inlineStr">
        <is>
          <t xml:space="preserve">  The blended price is the same weighted average applied to the two implied prices.</t>
        </is>
      </c>
    </row>
    <row r="17">
      <c r="A17" t="inlineStr"/>
    </row>
    <row r="18">
      <c r="A18" s="4" t="inlineStr">
        <is>
          <t>4. Reading the result</t>
        </is>
      </c>
    </row>
    <row r="19">
      <c r="A19" t="inlineStr">
        <is>
          <t xml:space="preserve">  Verdicts are relative: 'Undervalued' means cheaper than peers on these two views, not a buy signal.</t>
        </is>
      </c>
    </row>
    <row r="20">
      <c r="A20" t="inlineStr">
        <is>
          <t xml:space="preserve">  Signals agree = DCF and comps point the same way. Agreement means higher conviction;</t>
        </is>
      </c>
    </row>
    <row r="21">
      <c r="A21" t="inlineStr">
        <is>
          <t xml:space="preserve">  disagreement usually means the market expects growth beyond what the DCF assumes.</t>
        </is>
      </c>
    </row>
    <row r="22">
      <c r="A22" t="inlineStr">
        <is>
          <t xml:space="preserve">  All weights and thresholds are set in config/config.yaml.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2026-11-01T09:47:40Z</dcterms:created>
  <dcterms:modified xmlns:dcterms="http://purl.org/dc/terms/" xmlns:xsi="http://www.w3.org/2001/XMLSchema-instance" xsi:type="dcterms:W3CDTF">2026-11-01T09:47:40Z</dcterms:modified>
</cp:coreProperties>
</file>