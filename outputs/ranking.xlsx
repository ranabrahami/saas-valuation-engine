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nking" sheetId="1" state="visible" r:id="rId1"/>
    <sheet xmlns:r="http://schemas.openxmlformats.org/officeDocument/2006/relationships" name="Comps Regression" sheetId="2" state="visible" r:id="rId2"/>
    <sheet xmlns:r="http://schemas.openxmlformats.org/officeDocument/2006/relationships" name="Methodolog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0.0&quot;x&quot;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  <color rgb="00FFFFFF"/>
    </font>
    <font>
      <b val="1"/>
    </font>
    <font>
      <i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1" fontId="0" fillId="0" borderId="0" pivotButton="0" quotePrefix="0" xfId="0"/>
    <xf numFmtId="0" fontId="4" fillId="3" borderId="0" pivotButton="0" quotePrefix="0" xfId="0"/>
    <xf numFmtId="1" fontId="4" fillId="0" borderId="0" pivotButton="0" quotePrefix="0" xfId="0"/>
    <xf numFmtId="164" fontId="0" fillId="0" borderId="0" pivotButton="0" quotePrefix="0" xfId="0"/>
    <xf numFmtId="165" fontId="0" fillId="3" borderId="0" pivotButton="0" quotePrefix="0" xfId="0"/>
    <xf numFmtId="166" fontId="0" fillId="0" borderId="0" pivotButton="0" quotePrefix="0" xfId="0"/>
    <xf numFmtId="165" fontId="0" fillId="4" borderId="0" pivotButton="0" quotePrefix="0" xfId="0"/>
    <xf numFmtId="0" fontId="4" fillId="5" borderId="0" pivotButton="0" quotePrefix="0" xfId="0"/>
    <xf numFmtId="0" fontId="4" fillId="4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 / Revenue vs Revenue Growth</a:t>
            </a:r>
          </a:p>
        </rich>
      </tx>
    </title>
    <plotArea>
      <scatterChart>
        <ser>
          <idx val="0"/>
          <order val="0"/>
          <tx>
            <strRef>
              <f>'Comps Regression'!C4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ln xmlns:a="http://schemas.openxmlformats.org/drawingml/2006/main">
                <a:prstDash val="solid"/>
              </a:ln>
            </spPr>
          </marker>
          <xVal>
            <numRef>
              <f>'Comps Regression'!$B$5:$B$22</f>
            </numRef>
          </xVal>
          <yVal>
            <numRef>
              <f>'Comps Regression'!$C$5:$C$22</f>
            </numRef>
          </yVal>
        </ser>
        <ser>
          <idx val="1"/>
          <order val="1"/>
          <tx>
            <strRef>
              <f>'Comps Regression'!E4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'Comps Regression'!$B$5:$B$22</f>
            </numRef>
          </xVal>
          <yVal>
            <numRef>
              <f>'Comps Regression'!$E$5:$E$22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Growth</a:t>
                </a:r>
              </a:p>
            </rich>
          </tx>
        </title>
        <numFmt formatCode="0%" sourceLinked="0"/>
        <majorTickMark val="none"/>
        <minorTickMark val="none"/>
        <crossAx val="20"/>
      </valAx>
      <valAx>
        <axId val="20"/>
        <scaling>
          <logBase val="10"/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 / Revenue (log scale)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28" customWidth="1" min="3" max="3"/>
    <col width="22" customWidth="1" min="4" max="4"/>
    <col width="13" customWidth="1" min="5" max="5"/>
    <col width="9" customWidth="1" min="6" max="6"/>
    <col width="11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8" customWidth="1" min="14" max="14"/>
    <col width="8" customWidth="1" min="15" max="15"/>
    <col width="10" customWidth="1" min="16" max="16"/>
    <col width="10" customWidth="1" min="17" max="17"/>
    <col width="10" customWidth="1" min="18" max="18"/>
  </cols>
  <sheetData>
    <row r="1">
      <c r="A1" s="1" t="inlineStr">
        <is>
          <t>SaaS Valuation Ranking</t>
        </is>
      </c>
    </row>
    <row r="2">
      <c r="A2" s="2" t="inlineStr">
        <is>
          <t>Score = 50% DCF percentile + 50% comps percentile · Undervalued ≥ 67, Overvalued ≤ 33 · relative to this 18-company universe</t>
        </is>
      </c>
    </row>
    <row r="4" ht="32" customHeight="1">
      <c r="A4" s="3" t="inlineStr">
        <is>
          <t>Ticker</t>
        </is>
      </c>
      <c r="B4" s="3" t="inlineStr">
        <is>
          <t>Rank</t>
        </is>
      </c>
      <c r="C4" s="3" t="inlineStr">
        <is>
          <t>Company</t>
        </is>
      </c>
      <c r="D4" s="3" t="inlineStr">
        <is>
          <t>Profile</t>
        </is>
      </c>
      <c r="E4" s="3" t="inlineStr">
        <is>
          <t>Verdict</t>
        </is>
      </c>
      <c r="F4" s="3" t="inlineStr">
        <is>
          <t>Score (0-100)</t>
        </is>
      </c>
      <c r="G4" s="3" t="inlineStr">
        <is>
          <t>Share Price</t>
        </is>
      </c>
      <c r="H4" s="3" t="inlineStr">
        <is>
          <t>DCF Price</t>
        </is>
      </c>
      <c r="I4" s="3" t="inlineStr">
        <is>
          <t>Comps Price</t>
        </is>
      </c>
      <c r="J4" s="3" t="inlineStr">
        <is>
          <t>Blended Price</t>
        </is>
      </c>
      <c r="K4" s="3" t="inlineStr">
        <is>
          <t>DCF Upside</t>
        </is>
      </c>
      <c r="L4" s="3" t="inlineStr">
        <is>
          <t>Comps Upside</t>
        </is>
      </c>
      <c r="M4" s="3" t="inlineStr">
        <is>
          <t>Blended Upside</t>
        </is>
      </c>
      <c r="N4" s="3" t="inlineStr">
        <is>
          <t>DCF Score</t>
        </is>
      </c>
      <c r="O4" s="3" t="inlineStr">
        <is>
          <t>Comps Score</t>
        </is>
      </c>
      <c r="P4" s="3" t="inlineStr">
        <is>
          <t>Signals Agree?</t>
        </is>
      </c>
      <c r="Q4" s="3" t="inlineStr">
        <is>
          <t>EV / Revenue</t>
        </is>
      </c>
      <c r="R4" s="3" t="inlineStr">
        <is>
          <t>Fair EV / Revenue</t>
        </is>
      </c>
    </row>
    <row r="5">
      <c r="A5" s="4" t="inlineStr">
        <is>
          <t>HUBS</t>
        </is>
      </c>
      <c r="B5" s="5" t="n">
        <v>1</v>
      </c>
      <c r="C5" t="inlineStr">
        <is>
          <t>HubSpot, Inc.</t>
        </is>
      </c>
      <c r="D5" t="inlineStr">
        <is>
          <t>Maturing</t>
        </is>
      </c>
      <c r="E5" s="6" t="inlineStr">
        <is>
          <t>Undervalued</t>
        </is>
      </c>
      <c r="F5" s="7" t="n">
        <v>100</v>
      </c>
      <c r="G5" s="8" t="n">
        <v>230.94</v>
      </c>
      <c r="H5" s="8" t="n">
        <v>368.5276403432546</v>
      </c>
      <c r="I5" s="8" t="n">
        <v>731.9435783334552</v>
      </c>
      <c r="J5" s="8" t="n">
        <v>550.2356093383548</v>
      </c>
      <c r="K5" s="9" t="n">
        <v>0.595772236698946</v>
      </c>
      <c r="L5" s="9" t="n">
        <v>2.169410142606111</v>
      </c>
      <c r="M5" s="9" t="n">
        <v>1.382591189652528</v>
      </c>
      <c r="N5" s="5" t="n">
        <v>100</v>
      </c>
      <c r="O5" s="5" t="n">
        <v>100</v>
      </c>
      <c r="P5" t="inlineStr">
        <is>
          <t>Yes</t>
        </is>
      </c>
      <c r="Q5" s="10" t="n">
        <v>3.133654760726173</v>
      </c>
      <c r="R5" s="10" t="n">
        <v>11.11226324121541</v>
      </c>
    </row>
    <row r="6">
      <c r="A6" s="4" t="inlineStr">
        <is>
          <t>ADBE</t>
        </is>
      </c>
      <c r="B6" s="5" t="n">
        <v>2</v>
      </c>
      <c r="C6" t="inlineStr">
        <is>
          <t>Adobe Inc.</t>
        </is>
      </c>
      <c r="D6" t="inlineStr">
        <is>
          <t>Mature, profitable</t>
        </is>
      </c>
      <c r="E6" s="6" t="inlineStr">
        <is>
          <t>Undervalued</t>
        </is>
      </c>
      <c r="F6" s="7" t="n">
        <v>86.11111111111111</v>
      </c>
      <c r="G6" s="8" t="n">
        <v>245.2</v>
      </c>
      <c r="H6" s="8" t="n">
        <v>375.290185086368</v>
      </c>
      <c r="I6" s="8" t="n">
        <v>317.3556904500454</v>
      </c>
      <c r="J6" s="8" t="n">
        <v>346.3229377682067</v>
      </c>
      <c r="K6" s="9" t="n">
        <v>0.5305472474974227</v>
      </c>
      <c r="L6" s="9" t="n">
        <v>0.2942727995515717</v>
      </c>
      <c r="M6" s="9" t="n">
        <v>0.412410023524497</v>
      </c>
      <c r="N6" s="5" t="n">
        <v>94.44444444444444</v>
      </c>
      <c r="O6" s="5" t="n">
        <v>77.77777777777779</v>
      </c>
      <c r="P6" t="inlineStr">
        <is>
          <t>Yes</t>
        </is>
      </c>
      <c r="Q6" s="10" t="n">
        <v>3.998773008877109</v>
      </c>
      <c r="R6" s="10" t="n">
        <v>5.180269640728783</v>
      </c>
    </row>
    <row r="7">
      <c r="A7" s="4" t="inlineStr">
        <is>
          <t>WDAY</t>
        </is>
      </c>
      <c r="B7" s="5" t="n">
        <v>3</v>
      </c>
      <c r="C7" t="inlineStr">
        <is>
          <t>Workday, Inc.</t>
        </is>
      </c>
      <c r="D7" t="inlineStr">
        <is>
          <t>Growth, profitable</t>
        </is>
      </c>
      <c r="E7" s="6" t="inlineStr">
        <is>
          <t>Undervalued</t>
        </is>
      </c>
      <c r="F7" s="7" t="n">
        <v>86.11111111111111</v>
      </c>
      <c r="G7" s="8" t="n">
        <v>190.81</v>
      </c>
      <c r="H7" s="8" t="n">
        <v>224.9967635437312</v>
      </c>
      <c r="I7" s="8" t="n">
        <v>278.4375931255703</v>
      </c>
      <c r="J7" s="8" t="n">
        <v>251.7171783346508</v>
      </c>
      <c r="K7" s="9" t="n">
        <v>0.179166519279551</v>
      </c>
      <c r="L7" s="9" t="n">
        <v>0.4592400457291039</v>
      </c>
      <c r="M7" s="9" t="n">
        <v>0.3192032825043276</v>
      </c>
      <c r="N7" s="5" t="n">
        <v>83.33333333333334</v>
      </c>
      <c r="O7" s="5" t="n">
        <v>88.88888888888889</v>
      </c>
      <c r="P7" t="inlineStr">
        <is>
          <t>Yes</t>
        </is>
      </c>
      <c r="Q7" s="10" t="n">
        <v>4.601477513839215</v>
      </c>
      <c r="R7" s="10" t="n">
        <v>6.83389000654657</v>
      </c>
    </row>
    <row r="8">
      <c r="A8" s="4" t="inlineStr">
        <is>
          <t>PCTY</t>
        </is>
      </c>
      <c r="B8" s="5" t="n">
        <v>4</v>
      </c>
      <c r="C8" t="inlineStr">
        <is>
          <t>Paylocity Holding Corporation</t>
        </is>
      </c>
      <c r="D8" t="inlineStr">
        <is>
          <t>Mature, profitable</t>
        </is>
      </c>
      <c r="E8" s="6" t="inlineStr">
        <is>
          <t>Undervalued</t>
        </is>
      </c>
      <c r="F8" s="7" t="n">
        <v>77.77777777777777</v>
      </c>
      <c r="G8" s="8" t="n">
        <v>166.32</v>
      </c>
      <c r="H8" s="8" t="n">
        <v>240.1854844351954</v>
      </c>
      <c r="I8" s="8" t="n">
        <v>202.2355035901655</v>
      </c>
      <c r="J8" s="8" t="n">
        <v>221.2104940126805</v>
      </c>
      <c r="K8" s="9" t="n">
        <v>0.4441166692832816</v>
      </c>
      <c r="L8" s="9" t="n">
        <v>0.2159421812780515</v>
      </c>
      <c r="M8" s="9" t="n">
        <v>0.3300294252806666</v>
      </c>
      <c r="N8" s="5" t="n">
        <v>88.88888888888889</v>
      </c>
      <c r="O8" s="5" t="n">
        <v>66.66666666666666</v>
      </c>
      <c r="P8" t="inlineStr">
        <is>
          <t>Yes</t>
        </is>
      </c>
      <c r="Q8" s="10" t="n">
        <v>5.129153217228216</v>
      </c>
      <c r="R8" s="10" t="n">
        <v>6.261213856852391</v>
      </c>
    </row>
    <row r="9">
      <c r="A9" s="4" t="inlineStr">
        <is>
          <t>TEAM</t>
        </is>
      </c>
      <c r="B9" s="5" t="n">
        <v>5</v>
      </c>
      <c r="C9" t="inlineStr">
        <is>
          <t>Atlassian Corporation</t>
        </is>
      </c>
      <c r="D9" t="inlineStr">
        <is>
          <t>Growth, profitable</t>
        </is>
      </c>
      <c r="E9" s="6" t="inlineStr">
        <is>
          <t>Undervalued</t>
        </is>
      </c>
      <c r="F9" s="7" t="n">
        <v>72.22222222222223</v>
      </c>
      <c r="G9" s="8" t="n">
        <v>207.82</v>
      </c>
      <c r="H9" s="8" t="n">
        <v>141.4740191013711</v>
      </c>
      <c r="I9" s="8" t="n">
        <v>337.4541120988237</v>
      </c>
      <c r="J9" s="8" t="n">
        <v>239.4640656000974</v>
      </c>
      <c r="K9" s="11" t="n">
        <v>-0.3192473337437632</v>
      </c>
      <c r="L9" s="9" t="n">
        <v>0.623780733802443</v>
      </c>
      <c r="M9" s="9" t="n">
        <v>0.1522667000293398</v>
      </c>
      <c r="N9" s="5" t="n">
        <v>50</v>
      </c>
      <c r="O9" s="5" t="n">
        <v>94.44444444444444</v>
      </c>
      <c r="P9" t="inlineStr">
        <is>
          <t>No</t>
        </is>
      </c>
      <c r="Q9" s="10" t="n">
        <v>8.883454913853628</v>
      </c>
      <c r="R9" s="10" t="n">
        <v>14.45123702322237</v>
      </c>
    </row>
    <row r="10">
      <c r="A10" s="4" t="inlineStr">
        <is>
          <t>DOCU</t>
        </is>
      </c>
      <c r="B10" s="5" t="n">
        <v>6</v>
      </c>
      <c r="C10" t="inlineStr">
        <is>
          <t>DocuSign, Inc.</t>
        </is>
      </c>
      <c r="D10" t="inlineStr">
        <is>
          <t>Maturing</t>
        </is>
      </c>
      <c r="E10" s="6" t="inlineStr">
        <is>
          <t>Undervalued</t>
        </is>
      </c>
      <c r="F10" s="7" t="n">
        <v>69.44444444444446</v>
      </c>
      <c r="G10" s="8" t="n">
        <v>74.65000000000001</v>
      </c>
      <c r="H10" s="8" t="n">
        <v>86.87108647176464</v>
      </c>
      <c r="I10" s="8" t="n">
        <v>81.69323636035655</v>
      </c>
      <c r="J10" s="8" t="n">
        <v>84.2821614160606</v>
      </c>
      <c r="K10" s="9" t="n">
        <v>0.163711808061147</v>
      </c>
      <c r="L10" s="9" t="n">
        <v>0.09435011869198329</v>
      </c>
      <c r="M10" s="9" t="n">
        <v>0.1290309633765652</v>
      </c>
      <c r="N10" s="5" t="n">
        <v>77.77777777777779</v>
      </c>
      <c r="O10" s="5" t="n">
        <v>61.11111111111111</v>
      </c>
      <c r="P10" t="inlineStr">
        <is>
          <t>Yes</t>
        </is>
      </c>
      <c r="Q10" s="10" t="n">
        <v>4.172772737446687</v>
      </c>
      <c r="R10" s="10" t="n">
        <v>4.584241042180023</v>
      </c>
    </row>
    <row r="11">
      <c r="A11" s="4" t="inlineStr">
        <is>
          <t>ZS</t>
        </is>
      </c>
      <c r="B11" s="5" t="n">
        <v>7</v>
      </c>
      <c r="C11" t="inlineStr">
        <is>
          <t>Zscaler, Inc.</t>
        </is>
      </c>
      <c r="D11" t="inlineStr">
        <is>
          <t>High growth, unprofitable</t>
        </is>
      </c>
      <c r="E11" s="12" t="inlineStr">
        <is>
          <t>In line</t>
        </is>
      </c>
      <c r="F11" s="7" t="n">
        <v>63.88888888888889</v>
      </c>
      <c r="G11" s="8" t="n">
        <v>207.38</v>
      </c>
      <c r="H11" s="8" t="n">
        <v>139.7575856628418</v>
      </c>
      <c r="I11" s="8" t="n">
        <v>276.6081035466023</v>
      </c>
      <c r="J11" s="8" t="n">
        <v>208.182844604722</v>
      </c>
      <c r="K11" s="11" t="n">
        <v>-0.3260797296612896</v>
      </c>
      <c r="L11" s="9" t="n">
        <v>0.3338224686401887</v>
      </c>
      <c r="M11" s="9" t="n">
        <v>0.003871369489449661</v>
      </c>
      <c r="N11" s="5" t="n">
        <v>44.44444444444444</v>
      </c>
      <c r="O11" s="5" t="n">
        <v>83.33333333333334</v>
      </c>
      <c r="P11" t="inlineStr">
        <is>
          <t>No</t>
        </is>
      </c>
      <c r="Q11" s="10" t="n">
        <v>11.6982158822047</v>
      </c>
      <c r="R11" s="10" t="n">
        <v>15.51661838958482</v>
      </c>
    </row>
    <row r="12">
      <c r="A12" s="4" t="inlineStr">
        <is>
          <t>CRM</t>
        </is>
      </c>
      <c r="B12" s="5" t="n">
        <v>8</v>
      </c>
      <c r="C12" t="inlineStr">
        <is>
          <t>Salesforce, Inc.</t>
        </is>
      </c>
      <c r="D12" t="inlineStr">
        <is>
          <t>Mature, profitable</t>
        </is>
      </c>
      <c r="E12" s="12" t="inlineStr">
        <is>
          <t>In line</t>
        </is>
      </c>
      <c r="F12" s="7" t="n">
        <v>58.33333333333333</v>
      </c>
      <c r="G12" s="8" t="n">
        <v>240.7</v>
      </c>
      <c r="H12" s="8" t="n">
        <v>252.0023071272865</v>
      </c>
      <c r="I12" s="8" t="n">
        <v>245.9451550812153</v>
      </c>
      <c r="J12" s="8" t="n">
        <v>248.9737311042509</v>
      </c>
      <c r="K12" s="9" t="n">
        <v>0.0469559913888097</v>
      </c>
      <c r="L12" s="9" t="n">
        <v>0.02179125501128087</v>
      </c>
      <c r="M12" s="9" t="n">
        <v>0.03437362320004556</v>
      </c>
      <c r="N12" s="5" t="n">
        <v>66.66666666666666</v>
      </c>
      <c r="O12" s="5" t="n">
        <v>50</v>
      </c>
      <c r="P12" t="inlineStr">
        <is>
          <t>Yes</t>
        </is>
      </c>
      <c r="Q12" s="10" t="n">
        <v>4.923769620571291</v>
      </c>
      <c r="R12" s="10" t="n">
        <v>5.028488220445414</v>
      </c>
    </row>
    <row r="13">
      <c r="A13" s="4" t="inlineStr">
        <is>
          <t>NOW</t>
        </is>
      </c>
      <c r="B13" s="5" t="n">
        <v>9</v>
      </c>
      <c r="C13" t="inlineStr">
        <is>
          <t>ServiceNow, Inc.</t>
        </is>
      </c>
      <c r="D13" t="inlineStr">
        <is>
          <t>Growth, profitable</t>
        </is>
      </c>
      <c r="E13" s="12" t="inlineStr">
        <is>
          <t>In line</t>
        </is>
      </c>
      <c r="F13" s="7" t="n">
        <v>55.55555555555556</v>
      </c>
      <c r="G13" s="8" t="n">
        <v>141.97</v>
      </c>
      <c r="H13" s="8" t="n">
        <v>104.1082226487905</v>
      </c>
      <c r="I13" s="8" t="n">
        <v>155.2478866843261</v>
      </c>
      <c r="J13" s="8" t="n">
        <v>129.6780546665583</v>
      </c>
      <c r="K13" s="11" t="n">
        <v>-0.2666885775248959</v>
      </c>
      <c r="L13" s="9" t="n">
        <v>0.09352600327059291</v>
      </c>
      <c r="M13" s="11" t="n">
        <v>-0.08658128712715152</v>
      </c>
      <c r="N13" s="5" t="n">
        <v>55.55555555555556</v>
      </c>
      <c r="O13" s="5" t="n">
        <v>55.55555555555556</v>
      </c>
      <c r="P13" t="inlineStr">
        <is>
          <t>No</t>
        </is>
      </c>
      <c r="Q13" s="10" t="n">
        <v>10.69320613827384</v>
      </c>
      <c r="R13" s="10" t="n">
        <v>11.72705933607786</v>
      </c>
    </row>
    <row r="14">
      <c r="A14" s="4" t="inlineStr">
        <is>
          <t>ZM</t>
        </is>
      </c>
      <c r="B14" s="5" t="n">
        <v>10</v>
      </c>
      <c r="C14" t="inlineStr">
        <is>
          <t>Zoom Communications, Inc.</t>
        </is>
      </c>
      <c r="D14" t="inlineStr">
        <is>
          <t>Maturing</t>
        </is>
      </c>
      <c r="E14" s="12" t="inlineStr">
        <is>
          <t>In line</t>
        </is>
      </c>
      <c r="F14" s="7" t="n">
        <v>50</v>
      </c>
      <c r="G14" s="8" t="n">
        <v>94.19</v>
      </c>
      <c r="H14" s="8" t="n">
        <v>99.29075218174428</v>
      </c>
      <c r="I14" s="8" t="n">
        <v>80.56623659789955</v>
      </c>
      <c r="J14" s="8" t="n">
        <v>89.92849438982191</v>
      </c>
      <c r="K14" s="9" t="n">
        <v>0.0541538611502736</v>
      </c>
      <c r="L14" s="11" t="n">
        <v>-0.1446412931532057</v>
      </c>
      <c r="M14" s="11" t="n">
        <v>-0.04524371600146604</v>
      </c>
      <c r="N14" s="5" t="n">
        <v>72.22222222222221</v>
      </c>
      <c r="O14" s="5" t="n">
        <v>27.77777777777778</v>
      </c>
      <c r="P14" t="inlineStr">
        <is>
          <t>No</t>
        </is>
      </c>
      <c r="Q14" s="10" t="n">
        <v>4.053362204581053</v>
      </c>
      <c r="R14" s="10" t="n">
        <v>3.234043076989192</v>
      </c>
    </row>
    <row r="15">
      <c r="A15" s="4" t="inlineStr">
        <is>
          <t>PAYC</t>
        </is>
      </c>
      <c r="B15" s="5" t="n">
        <v>11</v>
      </c>
      <c r="C15" t="inlineStr">
        <is>
          <t>Paycom Software, Inc.</t>
        </is>
      </c>
      <c r="D15" t="inlineStr">
        <is>
          <t>Mature, profitable</t>
        </is>
      </c>
      <c r="E15" s="12" t="inlineStr">
        <is>
          <t>In line</t>
        </is>
      </c>
      <c r="F15" s="7" t="n">
        <v>47.22222222222222</v>
      </c>
      <c r="G15" s="8" t="n">
        <v>251.64</v>
      </c>
      <c r="H15" s="8" t="n">
        <v>244.8288102149409</v>
      </c>
      <c r="I15" s="8" t="n">
        <v>224.152740967558</v>
      </c>
      <c r="J15" s="8" t="n">
        <v>234.4907755912494</v>
      </c>
      <c r="K15" s="11" t="n">
        <v>-0.027067198319262</v>
      </c>
      <c r="L15" s="11" t="n">
        <v>-0.109232471119226</v>
      </c>
      <c r="M15" s="11" t="n">
        <v>-0.06814983471924407</v>
      </c>
      <c r="N15" s="5" t="n">
        <v>61.11111111111111</v>
      </c>
      <c r="O15" s="5" t="n">
        <v>33.33333333333333</v>
      </c>
      <c r="P15" t="inlineStr">
        <is>
          <t>Yes</t>
        </is>
      </c>
      <c r="Q15" s="10" t="n">
        <v>5.347673613101331</v>
      </c>
      <c r="R15" s="10" t="n">
        <v>4.743835216254207</v>
      </c>
    </row>
    <row r="16">
      <c r="A16" s="4" t="inlineStr">
        <is>
          <t>MDB</t>
        </is>
      </c>
      <c r="B16" s="5" t="n">
        <v>12</v>
      </c>
      <c r="C16" t="inlineStr">
        <is>
          <t>MongoDB, Inc.</t>
        </is>
      </c>
      <c r="D16" t="inlineStr">
        <is>
          <t>High growth, unprofitable</t>
        </is>
      </c>
      <c r="E16" s="12" t="inlineStr">
        <is>
          <t>In line</t>
        </is>
      </c>
      <c r="F16" s="7" t="n">
        <v>47.22222222222221</v>
      </c>
      <c r="G16" s="8" t="n">
        <v>337.57</v>
      </c>
      <c r="H16" s="8" t="n">
        <v>161.5431765829726</v>
      </c>
      <c r="I16" s="8" t="n">
        <v>436.6919251098618</v>
      </c>
      <c r="J16" s="8" t="n">
        <v>299.1175508464172</v>
      </c>
      <c r="K16" s="11" t="n">
        <v>-0.5214528050982832</v>
      </c>
      <c r="L16" s="9" t="n">
        <v>0.2936336911155073</v>
      </c>
      <c r="M16" s="11" t="n">
        <v>-0.1139095569913878</v>
      </c>
      <c r="N16" s="5" t="n">
        <v>22.22222222222222</v>
      </c>
      <c r="O16" s="5" t="n">
        <v>72.22222222222221</v>
      </c>
      <c r="P16" t="inlineStr">
        <is>
          <t>No</t>
        </is>
      </c>
      <c r="Q16" s="10" t="n">
        <v>10.22646096341891</v>
      </c>
      <c r="R16" s="10" t="n">
        <v>13.51827451568381</v>
      </c>
    </row>
    <row r="17">
      <c r="A17" s="4" t="inlineStr">
        <is>
          <t>TWLO</t>
        </is>
      </c>
      <c r="B17" s="5" t="n">
        <v>13</v>
      </c>
      <c r="C17" t="inlineStr">
        <is>
          <t>Twilio Inc.</t>
        </is>
      </c>
      <c r="D17" t="inlineStr">
        <is>
          <t>Maturing</t>
        </is>
      </c>
      <c r="E17" s="12" t="inlineStr">
        <is>
          <t>In line</t>
        </is>
      </c>
      <c r="F17" s="7" t="n">
        <v>38.88888888888889</v>
      </c>
      <c r="G17" s="8" t="n">
        <v>244.37</v>
      </c>
      <c r="H17" s="8" t="n">
        <v>154.6167574404823</v>
      </c>
      <c r="I17" s="8" t="n">
        <v>234.0939313535321</v>
      </c>
      <c r="J17" s="8" t="n">
        <v>194.3553443970072</v>
      </c>
      <c r="K17" s="11" t="n">
        <v>-0.3672842106621832</v>
      </c>
      <c r="L17" s="11" t="n">
        <v>-0.04205126916752422</v>
      </c>
      <c r="M17" s="11" t="n">
        <v>-0.2046677399148538</v>
      </c>
      <c r="N17" s="5" t="n">
        <v>33.33333333333333</v>
      </c>
      <c r="O17" s="5" t="n">
        <v>44.44444444444444</v>
      </c>
      <c r="P17" t="inlineStr">
        <is>
          <t>Yes</t>
        </is>
      </c>
      <c r="Q17" s="10" t="n">
        <v>7.114575450838921</v>
      </c>
      <c r="R17" s="10" t="n">
        <v>6.803132608771344</v>
      </c>
    </row>
    <row r="18">
      <c r="A18" s="4" t="inlineStr">
        <is>
          <t>VEEV</t>
        </is>
      </c>
      <c r="B18" s="5" t="n">
        <v>14</v>
      </c>
      <c r="C18" t="inlineStr">
        <is>
          <t>Veeva Systems Inc.</t>
        </is>
      </c>
      <c r="D18" t="inlineStr">
        <is>
          <t>Mature, profitable</t>
        </is>
      </c>
      <c r="E18" s="13" t="inlineStr">
        <is>
          <t>Overvalued</t>
        </is>
      </c>
      <c r="F18" s="7" t="n">
        <v>27.77777777777778</v>
      </c>
      <c r="G18" s="8" t="n">
        <v>310.36</v>
      </c>
      <c r="H18" s="8" t="n">
        <v>197.5974096073511</v>
      </c>
      <c r="I18" s="8" t="n">
        <v>197.7891274834339</v>
      </c>
      <c r="J18" s="8" t="n">
        <v>197.6932685453925</v>
      </c>
      <c r="K18" s="11" t="n">
        <v>-0.3633283618786213</v>
      </c>
      <c r="L18" s="11" t="n">
        <v>-0.3627106344779162</v>
      </c>
      <c r="M18" s="11" t="n">
        <v>-0.3630194981782687</v>
      </c>
      <c r="N18" s="5" t="n">
        <v>38.88888888888889</v>
      </c>
      <c r="O18" s="5" t="n">
        <v>16.66666666666666</v>
      </c>
      <c r="P18" t="inlineStr">
        <is>
          <t>Yes</t>
        </is>
      </c>
      <c r="Q18" s="10" t="n">
        <v>13.83480677407914</v>
      </c>
      <c r="R18" s="10" t="n">
        <v>8.063216873573712</v>
      </c>
    </row>
    <row r="19">
      <c r="A19" s="4" t="inlineStr">
        <is>
          <t>SNOW</t>
        </is>
      </c>
      <c r="B19" s="5" t="n">
        <v>15</v>
      </c>
      <c r="C19" t="inlineStr">
        <is>
          <t>Snowflake Inc.</t>
        </is>
      </c>
      <c r="D19" t="inlineStr">
        <is>
          <t>High growth, unprofitable</t>
        </is>
      </c>
      <c r="E19" s="13" t="inlineStr">
        <is>
          <t>Overvalued</t>
        </is>
      </c>
      <c r="F19" s="7" t="n">
        <v>25</v>
      </c>
      <c r="G19" s="8" t="n">
        <v>306.84</v>
      </c>
      <c r="H19" s="8" t="n">
        <v>88.86755023366669</v>
      </c>
      <c r="I19" s="8" t="n">
        <v>278.7801540506846</v>
      </c>
      <c r="J19" s="8" t="n">
        <v>183.8238521421757</v>
      </c>
      <c r="K19" s="11" t="n">
        <v>-0.7103782093805674</v>
      </c>
      <c r="L19" s="11" t="n">
        <v>-0.09144780976833311</v>
      </c>
      <c r="M19" s="11" t="n">
        <v>-0.4009130095744503</v>
      </c>
      <c r="N19" s="5" t="n">
        <v>11.11111111111111</v>
      </c>
      <c r="O19" s="5" t="n">
        <v>38.88888888888889</v>
      </c>
      <c r="P19" t="inlineStr">
        <is>
          <t>Yes</t>
        </is>
      </c>
      <c r="Q19" s="10" t="n">
        <v>23.17396364875435</v>
      </c>
      <c r="R19" s="10" t="n">
        <v>21.0199366412188</v>
      </c>
    </row>
    <row r="20">
      <c r="A20" s="4" t="inlineStr">
        <is>
          <t>OKTA</t>
        </is>
      </c>
      <c r="B20" s="5" t="n">
        <v>16</v>
      </c>
      <c r="C20" t="inlineStr">
        <is>
          <t>Okta, Inc.</t>
        </is>
      </c>
      <c r="D20" t="inlineStr">
        <is>
          <t>High growth, unprofitable</t>
        </is>
      </c>
      <c r="E20" s="13" t="inlineStr">
        <is>
          <t>Overvalued</t>
        </is>
      </c>
      <c r="F20" s="7" t="n">
        <v>19.44444444444444</v>
      </c>
      <c r="G20" s="8" t="n">
        <v>187.26</v>
      </c>
      <c r="H20" s="8" t="n">
        <v>103.61134294969</v>
      </c>
      <c r="I20" s="8" t="n">
        <v>98.47521083209057</v>
      </c>
      <c r="J20" s="8" t="n">
        <v>101.0432768908903</v>
      </c>
      <c r="K20" s="11" t="n">
        <v>-0.4466979443036956</v>
      </c>
      <c r="L20" s="11" t="n">
        <v>-0.4741257565305427</v>
      </c>
      <c r="M20" s="11" t="n">
        <v>-0.4604118504171191</v>
      </c>
      <c r="N20" s="5" t="n">
        <v>27.77777777777778</v>
      </c>
      <c r="O20" s="5" t="n">
        <v>11.11111111111111</v>
      </c>
      <c r="P20" t="inlineStr">
        <is>
          <t>Yes</t>
        </is>
      </c>
      <c r="Q20" s="10" t="n">
        <v>11.13936460934935</v>
      </c>
      <c r="R20" s="10" t="n">
        <v>5.774657417682138</v>
      </c>
    </row>
    <row r="21">
      <c r="A21" s="4" t="inlineStr">
        <is>
          <t>DDOG</t>
        </is>
      </c>
      <c r="B21" s="5" t="n">
        <v>17</v>
      </c>
      <c r="C21" t="inlineStr">
        <is>
          <t>Datadog, Inc.</t>
        </is>
      </c>
      <c r="D21" t="inlineStr">
        <is>
          <t>High growth, unprofitable</t>
        </is>
      </c>
      <c r="E21" s="13" t="inlineStr">
        <is>
          <t>Overvalued</t>
        </is>
      </c>
      <c r="F21" s="7" t="n">
        <v>19.44444444444444</v>
      </c>
      <c r="G21" s="8" t="n">
        <v>247.11</v>
      </c>
      <c r="H21" s="8" t="n">
        <v>72.51888335827871</v>
      </c>
      <c r="I21" s="8" t="n">
        <v>182.6327886974033</v>
      </c>
      <c r="J21" s="8" t="n">
        <v>127.575836027841</v>
      </c>
      <c r="K21" s="11" t="n">
        <v>-0.7065319762118947</v>
      </c>
      <c r="L21" s="11" t="n">
        <v>-0.2609251398267844</v>
      </c>
      <c r="M21" s="11" t="n">
        <v>-0.4837285580193396</v>
      </c>
      <c r="N21" s="5" t="n">
        <v>16.66666666666666</v>
      </c>
      <c r="O21" s="5" t="n">
        <v>22.22222222222222</v>
      </c>
      <c r="P21" t="inlineStr">
        <is>
          <t>Yes</t>
        </is>
      </c>
      <c r="Q21" s="10" t="n">
        <v>24.87181460790544</v>
      </c>
      <c r="R21" s="10" t="n">
        <v>18.11631771760847</v>
      </c>
    </row>
    <row r="22">
      <c r="A22" s="4" t="inlineStr">
        <is>
          <t>CRWD</t>
        </is>
      </c>
      <c r="B22" s="5" t="n">
        <v>18</v>
      </c>
      <c r="C22" t="inlineStr">
        <is>
          <t>CrowdStrike Holdings, Inc.</t>
        </is>
      </c>
      <c r="D22" t="inlineStr">
        <is>
          <t>High growth, unprofitable</t>
        </is>
      </c>
      <c r="E22" s="13" t="inlineStr">
        <is>
          <t>Overvalued</t>
        </is>
      </c>
      <c r="F22" s="7" t="n">
        <v>5.555555555555555</v>
      </c>
      <c r="G22" s="8" t="n">
        <v>227.39</v>
      </c>
      <c r="H22" s="8" t="n">
        <v>33.29202424079855</v>
      </c>
      <c r="I22" s="8" t="n">
        <v>56.48904005627598</v>
      </c>
      <c r="J22" s="8" t="n">
        <v>44.89053214853726</v>
      </c>
      <c r="K22" s="11" t="n">
        <v>-0.8535906405699523</v>
      </c>
      <c r="L22" s="11" t="n">
        <v>-0.7515764103246582</v>
      </c>
      <c r="M22" s="11" t="n">
        <v>-0.8025835254473053</v>
      </c>
      <c r="N22" s="5" t="n">
        <v>5.555555555555555</v>
      </c>
      <c r="O22" s="5" t="n">
        <v>5.555555555555555</v>
      </c>
      <c r="P22" t="inlineStr">
        <is>
          <t>Yes</t>
        </is>
      </c>
      <c r="Q22" s="10" t="n">
        <v>48.16985200032507</v>
      </c>
      <c r="R22" s="10" t="n">
        <v>11.25550989704547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9" customWidth="1" min="1" max="1"/>
    <col width="13" customWidth="1" min="2" max="2"/>
    <col width="13" customWidth="1" min="3" max="3"/>
    <col width="15" customWidth="1" min="4" max="4"/>
    <col width="12" customWidth="1" min="5" max="5"/>
    <col width="18" customWidth="1" min="6" max="6"/>
  </cols>
  <sheetData>
    <row r="1">
      <c r="A1" s="1" t="inlineStr">
        <is>
          <t>Comps regression: EV / Revenue vs Revenue Growth</t>
        </is>
      </c>
    </row>
    <row r="2">
      <c r="A2" s="2" t="inlineStr">
        <is>
          <t>ln(EV/Revenue) = 0.91 + 7.40 x Revenue Growth   ·   R² = 0.53   ·   n = 18   ·   +10 pts of Revenue Growth -&gt; multiple +110%</t>
        </is>
      </c>
    </row>
    <row r="4" ht="32" customHeight="1">
      <c r="A4" s="3" t="inlineStr">
        <is>
          <t>Ticker</t>
        </is>
      </c>
      <c r="B4" s="3" t="inlineStr">
        <is>
          <t>Revenue Growth</t>
        </is>
      </c>
      <c r="C4" s="3" t="inlineStr">
        <is>
          <t>EV / Revenue</t>
        </is>
      </c>
      <c r="D4" s="3" t="inlineStr">
        <is>
          <t>Fair EV / Revenue</t>
        </is>
      </c>
      <c r="E4" s="3" t="inlineStr">
        <is>
          <t>Fitted line</t>
        </is>
      </c>
      <c r="F4" s="3" t="inlineStr">
        <is>
          <t>Premium / (Discount) to Fair</t>
        </is>
      </c>
    </row>
    <row r="5">
      <c r="A5" s="4" t="inlineStr">
        <is>
          <t>ZM</t>
        </is>
      </c>
      <c r="B5" s="14" t="n">
        <v>0.0425252126851534</v>
      </c>
      <c r="C5" s="10" t="n">
        <v>4.053362204581053</v>
      </c>
      <c r="D5" s="10" t="n">
        <v>3.234043076989192</v>
      </c>
      <c r="E5" s="10" t="n">
        <v>3.398643495908821</v>
      </c>
      <c r="F5" s="11" t="n">
        <v>0.2533420576310399</v>
      </c>
    </row>
    <row r="6">
      <c r="A6" s="4" t="inlineStr">
        <is>
          <t>DOCU</t>
        </is>
      </c>
      <c r="B6" s="14" t="n">
        <v>0.08126026885982759</v>
      </c>
      <c r="C6" s="10" t="n">
        <v>4.172772737446687</v>
      </c>
      <c r="D6" s="10" t="n">
        <v>4.584241042180023</v>
      </c>
      <c r="E6" s="10" t="n">
        <v>4.527505764579889</v>
      </c>
      <c r="F6" s="9" t="n">
        <v>-0.08975712684987069</v>
      </c>
    </row>
    <row r="7">
      <c r="A7" s="4" t="inlineStr">
        <is>
          <t>PAYC</t>
        </is>
      </c>
      <c r="B7" s="14" t="n">
        <v>0.0894753610875106</v>
      </c>
      <c r="C7" s="10" t="n">
        <v>5.347673613101331</v>
      </c>
      <c r="D7" s="10" t="n">
        <v>4.743835216254207</v>
      </c>
      <c r="E7" s="10" t="n">
        <v>4.811437143157027</v>
      </c>
      <c r="F7" s="11" t="n">
        <v>0.1272890750458913</v>
      </c>
    </row>
    <row r="8">
      <c r="A8" s="4" t="inlineStr">
        <is>
          <t>CRM</t>
        </is>
      </c>
      <c r="B8" s="14" t="n">
        <v>0.0951246618345723</v>
      </c>
      <c r="C8" s="10" t="n">
        <v>4.923769620571291</v>
      </c>
      <c r="D8" s="10" t="n">
        <v>5.028488220445414</v>
      </c>
      <c r="E8" s="10" t="n">
        <v>5.016955671997638</v>
      </c>
      <c r="F8" s="9" t="n">
        <v>-0.02082506615971491</v>
      </c>
    </row>
    <row r="9">
      <c r="A9" s="4" t="inlineStr">
        <is>
          <t>ADBE</t>
        </is>
      </c>
      <c r="B9" s="14" t="n">
        <v>0.0956654015764971</v>
      </c>
      <c r="C9" s="10" t="n">
        <v>3.998773008877109</v>
      </c>
      <c r="D9" s="10" t="n">
        <v>5.180269640728783</v>
      </c>
      <c r="E9" s="10" t="n">
        <v>5.03708203547393</v>
      </c>
      <c r="F9" s="9" t="n">
        <v>-0.2280762805399944</v>
      </c>
    </row>
    <row r="10">
      <c r="A10" s="4" t="inlineStr">
        <is>
          <t>OKTA</t>
        </is>
      </c>
      <c r="B10" s="14" t="n">
        <v>0.1209440480418428</v>
      </c>
      <c r="C10" s="10" t="n">
        <v>11.13936460934935</v>
      </c>
      <c r="D10" s="10" t="n">
        <v>5.774657417682138</v>
      </c>
      <c r="E10" s="10" t="n">
        <v>6.0738358663087</v>
      </c>
      <c r="F10" s="11" t="n">
        <v>0.9290087365599125</v>
      </c>
    </row>
    <row r="11">
      <c r="A11" s="4" t="inlineStr">
        <is>
          <t>PCTY</t>
        </is>
      </c>
      <c r="B11" s="14" t="n">
        <v>0.1230298465241769</v>
      </c>
      <c r="C11" s="10" t="n">
        <v>5.129153217228216</v>
      </c>
      <c r="D11" s="10" t="n">
        <v>6.261213856852391</v>
      </c>
      <c r="E11" s="10" t="n">
        <v>6.168363822425484</v>
      </c>
      <c r="F11" s="9" t="n">
        <v>-0.1808052983823937</v>
      </c>
    </row>
    <row r="12">
      <c r="A12" s="4" t="inlineStr">
        <is>
          <t>WDAY</t>
        </is>
      </c>
      <c r="B12" s="14" t="n">
        <v>0.1333100384365797</v>
      </c>
      <c r="C12" s="10" t="n">
        <v>4.601477513839215</v>
      </c>
      <c r="D12" s="10" t="n">
        <v>6.83389000654657</v>
      </c>
      <c r="E12" s="10" t="n">
        <v>6.656196862525871</v>
      </c>
      <c r="F12" s="9" t="n">
        <v>-0.3266678993324155</v>
      </c>
    </row>
    <row r="13">
      <c r="A13" s="4" t="inlineStr">
        <is>
          <t>TWLO</t>
        </is>
      </c>
      <c r="B13" s="14" t="n">
        <v>0.136648515175741</v>
      </c>
      <c r="C13" s="10" t="n">
        <v>7.114575450838921</v>
      </c>
      <c r="D13" s="10" t="n">
        <v>6.803132608771344</v>
      </c>
      <c r="E13" s="10" t="n">
        <v>6.822775815785168</v>
      </c>
      <c r="F13" s="11" t="n">
        <v>0.04577932843261512</v>
      </c>
    </row>
    <row r="14">
      <c r="A14" s="4" t="inlineStr">
        <is>
          <t>VEEV</t>
        </is>
      </c>
      <c r="B14" s="14" t="n">
        <v>0.1632637311788301</v>
      </c>
      <c r="C14" s="10" t="n">
        <v>13.83480677407914</v>
      </c>
      <c r="D14" s="10" t="n">
        <v>8.063216873573712</v>
      </c>
      <c r="E14" s="10" t="n">
        <v>8.308887850057861</v>
      </c>
      <c r="F14" s="11" t="n">
        <v>0.7157924673241978</v>
      </c>
    </row>
    <row r="15">
      <c r="A15" s="4" t="inlineStr">
        <is>
          <t>HUBS</t>
        </is>
      </c>
      <c r="B15" s="14" t="n">
        <v>0.1917087560508048</v>
      </c>
      <c r="C15" s="10" t="n">
        <v>3.133654760726173</v>
      </c>
      <c r="D15" s="10" t="n">
        <v>11.11226324121541</v>
      </c>
      <c r="E15" s="10" t="n">
        <v>10.25671958677319</v>
      </c>
      <c r="F15" s="9" t="n">
        <v>-0.7180003125642811</v>
      </c>
    </row>
    <row r="16">
      <c r="A16" s="4" t="inlineStr">
        <is>
          <t>NOW</t>
        </is>
      </c>
      <c r="B16" s="14" t="n">
        <v>0.2088492352512745</v>
      </c>
      <c r="C16" s="10" t="n">
        <v>10.69320613827384</v>
      </c>
      <c r="D16" s="10" t="n">
        <v>11.72705933607786</v>
      </c>
      <c r="E16" s="10" t="n">
        <v>11.64458617997387</v>
      </c>
      <c r="F16" s="9" t="n">
        <v>-0.0881596287846359</v>
      </c>
    </row>
    <row r="17">
      <c r="A17" s="4" t="inlineStr">
        <is>
          <t>CRWD</t>
        </is>
      </c>
      <c r="B17" s="14" t="n">
        <v>0.2221541930904092</v>
      </c>
      <c r="C17" s="10" t="n">
        <v>48.16985200032507</v>
      </c>
      <c r="D17" s="10" t="n">
        <v>11.25550989704547</v>
      </c>
      <c r="E17" s="10" t="n">
        <v>12.85009787572902</v>
      </c>
      <c r="F17" s="11" t="n">
        <v>3.279668574852346</v>
      </c>
    </row>
    <row r="18">
      <c r="A18" s="4" t="inlineStr">
        <is>
          <t>MDB</t>
        </is>
      </c>
      <c r="B18" s="14" t="n">
        <v>0.2254084426782584</v>
      </c>
      <c r="C18" s="10" t="n">
        <v>10.22646096341891</v>
      </c>
      <c r="D18" s="10" t="n">
        <v>13.51827451568381</v>
      </c>
      <c r="E18" s="10" t="n">
        <v>13.1634747483847</v>
      </c>
      <c r="F18" s="9" t="n">
        <v>-0.2435084114060383</v>
      </c>
    </row>
    <row r="19">
      <c r="A19" s="4" t="inlineStr">
        <is>
          <t>TEAM</t>
        </is>
      </c>
      <c r="B19" s="14" t="n">
        <v>0.2312227390552258</v>
      </c>
      <c r="C19" s="10" t="n">
        <v>8.883454913853628</v>
      </c>
      <c r="D19" s="10" t="n">
        <v>14.45123702322237</v>
      </c>
      <c r="E19" s="10" t="n">
        <v>13.7425251010612</v>
      </c>
      <c r="F19" s="9" t="n">
        <v>-0.3852806580102183</v>
      </c>
    </row>
    <row r="20">
      <c r="A20" s="4" t="inlineStr">
        <is>
          <t>ZS</t>
        </is>
      </c>
      <c r="B20" s="14" t="n">
        <v>0.2429731886212083</v>
      </c>
      <c r="C20" s="10" t="n">
        <v>11.6982158822047</v>
      </c>
      <c r="D20" s="10" t="n">
        <v>15.51661838958482</v>
      </c>
      <c r="E20" s="10" t="n">
        <v>14.99168196659414</v>
      </c>
      <c r="F20" s="9" t="n">
        <v>-0.2460847081180485</v>
      </c>
    </row>
    <row r="21">
      <c r="A21" s="4" t="inlineStr">
        <is>
          <t>DDOG</t>
        </is>
      </c>
      <c r="B21" s="14" t="n">
        <v>0.2767536858183308</v>
      </c>
      <c r="C21" s="10" t="n">
        <v>24.87181460790544</v>
      </c>
      <c r="D21" s="10" t="n">
        <v>18.11631771760847</v>
      </c>
      <c r="E21" s="10" t="n">
        <v>19.25184121254</v>
      </c>
      <c r="F21" s="11" t="n">
        <v>0.3728956952289946</v>
      </c>
    </row>
    <row r="22">
      <c r="A22" s="4" t="inlineStr">
        <is>
          <t>SNOW</t>
        </is>
      </c>
      <c r="B22" s="14" t="n">
        <v>0.2916598872820696</v>
      </c>
      <c r="C22" s="10" t="n">
        <v>23.17396364875435</v>
      </c>
      <c r="D22" s="10" t="n">
        <v>21.0199366412188</v>
      </c>
      <c r="E22" s="10" t="n">
        <v>21.49826838279597</v>
      </c>
      <c r="F22" s="11" t="n">
        <v>0.1024754281757272</v>
      </c>
    </row>
    <row r="24">
      <c r="A24" s="15" t="inlineStr">
        <is>
          <t>Fair EV/Revenue uses a line fitted on the other companies (leave-one-out), so it differs slightly from the fitted line, which uses all of them.</t>
        </is>
      </c>
    </row>
    <row r="26">
      <c r="A26" s="16" t="inlineStr">
        <is>
          <t>Which metric explains the multiples best?</t>
        </is>
      </c>
    </row>
    <row r="27" ht="32" customHeight="1">
      <c r="A27" s="3" t="inlineStr">
        <is>
          <t>Metric</t>
        </is>
      </c>
      <c r="B27" s="3" t="inlineStr">
        <is>
          <t>R²</t>
        </is>
      </c>
      <c r="C27" s="3" t="inlineStr">
        <is>
          <t>Used</t>
        </is>
      </c>
    </row>
    <row r="28">
      <c r="A28" s="4" t="inlineStr">
        <is>
          <t>Revenue Growth</t>
        </is>
      </c>
      <c r="B28" s="17" t="n">
        <v>0.5298918011065868</v>
      </c>
      <c r="C28" t="inlineStr">
        <is>
          <t>Yes</t>
        </is>
      </c>
    </row>
    <row r="29">
      <c r="A29" s="4" t="inlineStr">
        <is>
          <t>Rule of 40</t>
        </is>
      </c>
      <c r="B29" s="17" t="n">
        <v>0.2927752511328587</v>
      </c>
      <c r="C29" t="inlineStr"/>
    </row>
    <row r="30">
      <c r="A30" s="4" t="inlineStr">
        <is>
          <t>FCF Margin</t>
        </is>
      </c>
      <c r="B30" s="17" t="n">
        <v>0.01240295018953297</v>
      </c>
      <c r="C30" t="inlineStr"/>
    </row>
    <row r="31">
      <c r="A31" s="15" t="inlineStr">
        <is>
          <t>R² = share of the variation in ln(EV/Revenue) the metric explains (1.0 = all of it).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How the ranking works</t>
        </is>
      </c>
    </row>
    <row r="3">
      <c r="A3" s="4" t="inlineStr">
        <is>
          <t>1. DCF signal</t>
        </is>
      </c>
    </row>
    <row r="4">
      <c r="A4" t="inlineStr">
        <is>
          <t xml:space="preserve">  DCF upside = DCF implied price / current price - 1 (Stage 4: two-stage DCF, SBC expensed).</t>
        </is>
      </c>
    </row>
    <row r="5">
      <c r="A5" t="inlineStr"/>
    </row>
    <row r="6">
      <c r="A6" s="4" t="inlineStr">
        <is>
          <t>2. Comps signal</t>
        </is>
      </c>
    </row>
    <row r="7">
      <c r="A7" t="inlineStr">
        <is>
          <t xml:space="preserve">  Raw multiples aren't comparable: faster-growing, more profitable companies deserve higher ones.</t>
        </is>
      </c>
    </row>
    <row r="8">
      <c r="A8" t="inlineStr">
        <is>
          <t xml:space="preserve">  So ln(EV/Revenue) is regressed on Revenue Growth across the universe. Each company's 'fair' multiple</t>
        </is>
      </c>
    </row>
    <row r="9">
      <c r="A9" t="inlineStr">
        <is>
          <t xml:space="preserve">  comes from a line fitted on the other companies (leave-one-out), so it can't set its own benchmark.</t>
        </is>
      </c>
    </row>
    <row r="10">
      <c r="A10" t="inlineStr">
        <is>
          <t xml:space="preserve">  Comps price = (fair multiple x revenue + net cash) / shares. Comps upside = comps price / price - 1.</t>
        </is>
      </c>
    </row>
    <row r="11">
      <c r="A11" t="inlineStr"/>
    </row>
    <row r="12">
      <c r="A12" s="4" t="inlineStr">
        <is>
          <t>3. Combining</t>
        </is>
      </c>
    </row>
    <row r="13">
      <c r="A13" t="inlineStr">
        <is>
          <t xml:space="preserve">  Each upside is converted to a percentile rank (0-100) within the universe, then weighted:</t>
        </is>
      </c>
    </row>
    <row r="14">
      <c r="A14" t="inlineStr">
        <is>
          <t xml:space="preserve">  score = 0.5 x DCF percentile + 0.5 x comps percentile.</t>
        </is>
      </c>
    </row>
    <row r="15">
      <c r="A15" t="inlineStr">
        <is>
          <t xml:space="preserve">  Percentiles stop one extreme result from dominating; they measure order, not size.</t>
        </is>
      </c>
    </row>
    <row r="16">
      <c r="A16" t="inlineStr">
        <is>
          <t xml:space="preserve">  The blended price is the same weighted average applied to the two implied prices.</t>
        </is>
      </c>
    </row>
    <row r="17">
      <c r="A17" t="inlineStr"/>
    </row>
    <row r="18">
      <c r="A18" s="4" t="inlineStr">
        <is>
          <t>4. Reading the result</t>
        </is>
      </c>
    </row>
    <row r="19">
      <c r="A19" t="inlineStr">
        <is>
          <t xml:space="preserve">  Verdicts are relative: 'Undervalued' means cheaper than peers on these two views, not a buy signal.</t>
        </is>
      </c>
    </row>
    <row r="20">
      <c r="A20" t="inlineStr">
        <is>
          <t xml:space="preserve">  Signals agree = DCF and comps point the same way. Agreement means higher conviction;</t>
        </is>
      </c>
    </row>
    <row r="21">
      <c r="A21" t="inlineStr">
        <is>
          <t xml:space="preserve">  disagreement usually means the market expects growth beyond what the DCF assumes.</t>
        </is>
      </c>
    </row>
    <row r="22">
      <c r="A22" t="inlineStr">
        <is>
          <t xml:space="preserve">  All weights and thresholds are set in config/config.yaml.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2026-10-18T15:00:31Z</dcterms:created>
  <dcterms:modified xmlns:dcterms="http://purl.org/dc/terms/" xmlns:xsi="http://www.w3.org/2001/XMLSchema-instance" xsi:type="dcterms:W3CDTF">2026-10-18T15:00:31Z</dcterms:modified>
</cp:coreProperties>
</file>